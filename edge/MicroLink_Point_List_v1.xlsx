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§1 DC Operations" sheetId="2" state="visible" r:id="rId4"/>
    <sheet name="§2 Thermal &amp; Heat" sheetId="3" state="visible" r:id="rId5"/>
    <sheet name="Protocols &amp; Hardwar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<sst xmlns="http://schemas.openxmlformats.org/spreadsheetml/2006/main" count="3723" uniqueCount="1460">
  <si>
    <t xml:space="preserve">MICROLINK MONITORING &amp; CONTROL SYSTEM</t>
  </si>
  <si>
    <t xml:space="preserve">Master Point List — v1.0 — February 2026</t>
  </si>
  <si>
    <t xml:space="preserve">Per 1MW Liquid-Cooled Compute Block — Standard Deployment Configuration</t>
  </si>
  <si>
    <t xml:space="preserve">System</t>
  </si>
  <si>
    <t xml:space="preserve">AI</t>
  </si>
  <si>
    <t xml:space="preserve">AO</t>
  </si>
  <si>
    <t xml:space="preserve">DI</t>
  </si>
  <si>
    <t xml:space="preserve">DO</t>
  </si>
  <si>
    <t xml:space="preserve">Calc</t>
  </si>
  <si>
    <t xml:space="preserve">Total</t>
  </si>
  <si>
    <t xml:space="preserve">§1 DATA CENTER OPERATIONS</t>
  </si>
  <si>
    <t xml:space="preserve">  Electrical Power Management</t>
  </si>
  <si>
    <t xml:space="preserve">  Physical Security</t>
  </si>
  <si>
    <t xml:space="preserve">  Environmental Monitoring</t>
  </si>
  <si>
    <t xml:space="preserve">  Network &amp; Connectivity</t>
  </si>
  <si>
    <t xml:space="preserve">  Compute &amp; IT Infrastructure</t>
  </si>
  <si>
    <t xml:space="preserve">§1 SUBTOTAL</t>
  </si>
  <si>
    <t xml:space="preserve">§2 THERMAL &amp; HEAT RECOVERY</t>
  </si>
  <si>
    <t xml:space="preserve">  Loop 1 — IT Secondary (Compute Module)</t>
  </si>
  <si>
    <t xml:space="preserve">  Loop 2 — MicroLink Primary Warm-Water</t>
  </si>
  <si>
    <t xml:space="preserve">  Heat Export — Plate HX Interface</t>
  </si>
  <si>
    <t xml:space="preserve">  Loop 3 — Host Process / Hot-Water</t>
  </si>
  <si>
    <t xml:space="preserve">  Heat Rejection System (Fallback)</t>
  </si>
  <si>
    <t xml:space="preserve">  Thermal Safety &amp; Leak Detection</t>
  </si>
  <si>
    <t xml:space="preserve">§2 SUBTOTAL</t>
  </si>
  <si>
    <t xml:space="preserve">GRAND TOTAL</t>
  </si>
  <si>
    <t xml:space="preserve">I/O TYPE LEGEND</t>
  </si>
  <si>
    <t xml:space="preserve">Analog Input — continuous sensor reading (temp, pressure, flow, voltage, current)</t>
  </si>
  <si>
    <t xml:space="preserve">Analog Output — continuous control signal (valve position, VFD speed, setpoint)</t>
  </si>
  <si>
    <t xml:space="preserve">Digital Input — binary status (on/off, open/closed, alarm/normal, run/stop)</t>
  </si>
  <si>
    <t xml:space="preserve">Digital Output — binary command (start/stop, open/close, enable/disable)</t>
  </si>
  <si>
    <t xml:space="preserve">Calculated / Virtual — derived from other points (ΔT, kWt, efficiency, COP)</t>
  </si>
  <si>
    <t xml:space="preserve">ALARM PRIORITY LEGEND</t>
  </si>
  <si>
    <t xml:space="preserve">P0</t>
  </si>
  <si>
    <t xml:space="preserve">CRITICAL — Immediate automated response + all-hands page. Equipment damage or safety risk.</t>
  </si>
  <si>
    <t xml:space="preserve">P1</t>
  </si>
  <si>
    <t xml:space="preserve">MAJOR — 15-min response. Service degradation or impending failure. On-call engineer paged.</t>
  </si>
  <si>
    <t xml:space="preserve">P2</t>
  </si>
  <si>
    <t xml:space="preserve">MINOR — 4-hour response. Performance deviation. NOC ticket auto-created.</t>
  </si>
  <si>
    <t xml:space="preserve">P3</t>
  </si>
  <si>
    <t xml:space="preserve">INFO — Next-business-day review. Trending data, maintenance reminders.</t>
  </si>
  <si>
    <t xml:space="preserve">§1 — DATA CENTER OPERATIONS POINT LIST</t>
  </si>
  <si>
    <t xml:space="preserve">Point ID</t>
  </si>
  <si>
    <t xml:space="preserve">Subsystem</t>
  </si>
  <si>
    <t xml:space="preserve">Point Name</t>
  </si>
  <si>
    <t xml:space="preserve">Description</t>
  </si>
  <si>
    <t xml:space="preserve">I/O Type</t>
  </si>
  <si>
    <t xml:space="preserve">Signal / Protocol</t>
  </si>
  <si>
    <t xml:space="preserve">Range</t>
  </si>
  <si>
    <t xml:space="preserve">Units</t>
  </si>
  <si>
    <t xml:space="preserve">Alarm</t>
  </si>
  <si>
    <t xml:space="preserve">Priority</t>
  </si>
  <si>
    <t xml:space="preserve">Poll Rate</t>
  </si>
  <si>
    <t xml:space="preserve">Hardware Ref</t>
  </si>
  <si>
    <t xml:space="preserve">Notes</t>
  </si>
  <si>
    <t xml:space="preserve">1.1  ELECTRICAL POWER MANAGEMENT</t>
  </si>
  <si>
    <t xml:space="preserve">1.1.1  Intake Monitoring (Main Switchboard Demarc)</t>
  </si>
  <si>
    <t xml:space="preserve">DC-PWR-001</t>
  </si>
  <si>
    <t xml:space="preserve">Electrical</t>
  </si>
  <si>
    <t xml:space="preserve">Intake</t>
  </si>
  <si>
    <t xml:space="preserve">Intake Voltage L1-L2-L3</t>
  </si>
  <si>
    <t xml:space="preserve">Three-phase RMS voltage at MicroLink main switchboard intake demarc point</t>
  </si>
  <si>
    <t xml:space="preserve">Modbus TCP</t>
  </si>
  <si>
    <t xml:space="preserve">0–500</t>
  </si>
  <si>
    <t xml:space="preserve">V</t>
  </si>
  <si>
    <t xml:space="preserve">Y</t>
  </si>
  <si>
    <t xml:space="preserve">1s</t>
  </si>
  <si>
    <t xml:space="preserve">PM-5350</t>
  </si>
  <si>
    <t xml:space="preserve">Per-phase monitoring; alarm on ±10% nominal</t>
  </si>
  <si>
    <t xml:space="preserve">DC-PWR-002</t>
  </si>
  <si>
    <t xml:space="preserve">Intake Current L1-L2-L3</t>
  </si>
  <si>
    <t xml:space="preserve">Three-phase RMS current at intake breaker CTs</t>
  </si>
  <si>
    <t xml:space="preserve">0–2000</t>
  </si>
  <si>
    <t xml:space="preserve">A</t>
  </si>
  <si>
    <t xml:space="preserve">Per-phase; alarm at 80% breaker rating</t>
  </si>
  <si>
    <t xml:space="preserve">DC-PWR-003</t>
  </si>
  <si>
    <t xml:space="preserve">Intake Frequency</t>
  </si>
  <si>
    <t xml:space="preserve">Mains frequency at intake point</t>
  </si>
  <si>
    <t xml:space="preserve">45–65</t>
  </si>
  <si>
    <t xml:space="preserve">Hz</t>
  </si>
  <si>
    <t xml:space="preserve">Alarm on ±2% of nominal (50/60Hz)</t>
  </si>
  <si>
    <t xml:space="preserve">DC-PWR-004</t>
  </si>
  <si>
    <t xml:space="preserve">Intake Power Factor</t>
  </si>
  <si>
    <t xml:space="preserve">Displacement PF at intake</t>
  </si>
  <si>
    <t xml:space="preserve">0–1.0</t>
  </si>
  <si>
    <t xml:space="preserve">PF</t>
  </si>
  <si>
    <t xml:space="preserve">5s</t>
  </si>
  <si>
    <t xml:space="preserve">Alarm below 0.90 lagging</t>
  </si>
  <si>
    <t xml:space="preserve">DC-PWR-005</t>
  </si>
  <si>
    <t xml:space="preserve">Intake Active Power</t>
  </si>
  <si>
    <t xml:space="preserve">Total 3-phase active power at intake</t>
  </si>
  <si>
    <t xml:space="preserve">0–1500</t>
  </si>
  <si>
    <t xml:space="preserve">kW</t>
  </si>
  <si>
    <t xml:space="preserve">Primary load tracking — billing verification</t>
  </si>
  <si>
    <t xml:space="preserve">DC-PWR-006</t>
  </si>
  <si>
    <t xml:space="preserve">Intake Apparent Power</t>
  </si>
  <si>
    <t xml:space="preserve">Total 3-phase apparent power at intake</t>
  </si>
  <si>
    <t xml:space="preserve">kVA</t>
  </si>
  <si>
    <t xml:space="preserve">N</t>
  </si>
  <si>
    <t xml:space="preserve">—</t>
  </si>
  <si>
    <t xml:space="preserve">Capacity planning metric</t>
  </si>
  <si>
    <t xml:space="preserve">DC-PWR-007</t>
  </si>
  <si>
    <t xml:space="preserve">Intake THD Voltage</t>
  </si>
  <si>
    <t xml:space="preserve">Total harmonic distortion on voltage waveform</t>
  </si>
  <si>
    <t xml:space="preserve">0–30</t>
  </si>
  <si>
    <t xml:space="preserve">%</t>
  </si>
  <si>
    <t xml:space="preserve">30s</t>
  </si>
  <si>
    <t xml:space="preserve">Alarm above 8% THD-V per IEEE 519</t>
  </si>
  <si>
    <t xml:space="preserve">DC-PWR-008</t>
  </si>
  <si>
    <t xml:space="preserve">Intake Energy Cumulative</t>
  </si>
  <si>
    <t xml:space="preserve">Accumulated energy from utility meter — billing grade</t>
  </si>
  <si>
    <t xml:space="preserve">0–999999</t>
  </si>
  <si>
    <t xml:space="preserve">kWh</t>
  </si>
  <si>
    <t xml:space="preserve">60s</t>
  </si>
  <si>
    <t xml:space="preserve">Revenue-grade metering for cost allocation</t>
  </si>
  <si>
    <t xml:space="preserve">DC-PWR-009</t>
  </si>
  <si>
    <t xml:space="preserve">Main Breaker Status</t>
  </si>
  <si>
    <t xml:space="preserve">Main intake breaker position feedback (open/closed)</t>
  </si>
  <si>
    <t xml:space="preserve">0/1</t>
  </si>
  <si>
    <t xml:space="preserve">P0 alarm on unexpected open</t>
  </si>
  <si>
    <t xml:space="preserve">DC-PWR-010</t>
  </si>
  <si>
    <t xml:space="preserve">Intake Earth Leakage</t>
  </si>
  <si>
    <t xml:space="preserve">Residual current monitoring on intake</t>
  </si>
  <si>
    <t xml:space="preserve">0–1000</t>
  </si>
  <si>
    <t xml:space="preserve">mA</t>
  </si>
  <si>
    <t xml:space="preserve">RCD Monitor</t>
  </si>
  <si>
    <t xml:space="preserve">Alarm above 300mA; pre-trip warning at 150mA</t>
  </si>
  <si>
    <t xml:space="preserve">1.1.2  UPS &amp; Ride-Through</t>
  </si>
  <si>
    <t xml:space="preserve">DC-PWR-011</t>
  </si>
  <si>
    <t xml:space="preserve">UPS</t>
  </si>
  <si>
    <t xml:space="preserve">UPS Input Voltage</t>
  </si>
  <si>
    <t xml:space="preserve">UPS input bus voltage (all phases)</t>
  </si>
  <si>
    <t xml:space="preserve">SNMP v3</t>
  </si>
  <si>
    <t xml:space="preserve">UPS-01</t>
  </si>
  <si>
    <t xml:space="preserve">Alarm on ±10% nominal</t>
  </si>
  <si>
    <t xml:space="preserve">DC-PWR-012</t>
  </si>
  <si>
    <t xml:space="preserve">UPS Output Voltage</t>
  </si>
  <si>
    <t xml:space="preserve">UPS output bus voltage (all phases)</t>
  </si>
  <si>
    <t xml:space="preserve">Output quality — P0 on deviation &gt;5%</t>
  </si>
  <si>
    <t xml:space="preserve">DC-PWR-013</t>
  </si>
  <si>
    <t xml:space="preserve">UPS Load Percentage</t>
  </si>
  <si>
    <t xml:space="preserve">UPS load as % of rated capacity</t>
  </si>
  <si>
    <t xml:space="preserve">0–100</t>
  </si>
  <si>
    <t xml:space="preserve">Alarm at 80%; P0 at 95%</t>
  </si>
  <si>
    <t xml:space="preserve">DC-PWR-014</t>
  </si>
  <si>
    <t xml:space="preserve">UPS Battery SOC</t>
  </si>
  <si>
    <t xml:space="preserve">Battery state of charge</t>
  </si>
  <si>
    <t xml:space="preserve">Alarm below 80%; P0 below 50%</t>
  </si>
  <si>
    <t xml:space="preserve">DC-PWR-015</t>
  </si>
  <si>
    <t xml:space="preserve">UPS Estimated Runtime</t>
  </si>
  <si>
    <t xml:space="preserve">Estimated remaining battery runtime at current load</t>
  </si>
  <si>
    <t xml:space="preserve">0–999</t>
  </si>
  <si>
    <t xml:space="preserve">min</t>
  </si>
  <si>
    <t xml:space="preserve">P0 below 5 min; P1 below 15 min</t>
  </si>
  <si>
    <t xml:space="preserve">DC-PWR-016</t>
  </si>
  <si>
    <t xml:space="preserve">UPS Bypass Active</t>
  </si>
  <si>
    <t xml:space="preserve">UPS operating on bypass (mains direct)</t>
  </si>
  <si>
    <t xml:space="preserve">P1 alarm — reduced protection</t>
  </si>
  <si>
    <t xml:space="preserve">DC-PWR-017</t>
  </si>
  <si>
    <t xml:space="preserve">UPS On Battery</t>
  </si>
  <si>
    <t xml:space="preserve">UPS discharging batteries — mains lost</t>
  </si>
  <si>
    <t xml:space="preserve">P0 — initiate generator start (Class B/C)</t>
  </si>
  <si>
    <t xml:space="preserve">DC-PWR-018</t>
  </si>
  <si>
    <t xml:space="preserve">UPS Battery Temperature</t>
  </si>
  <si>
    <t xml:space="preserve">Internal battery compartment temperature</t>
  </si>
  <si>
    <t xml:space="preserve">0–60</t>
  </si>
  <si>
    <t xml:space="preserve">°C</t>
  </si>
  <si>
    <t xml:space="preserve">Alarm above 35°C; P0 above 45°C</t>
  </si>
  <si>
    <t xml:space="preserve">DC-PWR-019</t>
  </si>
  <si>
    <t xml:space="preserve">UPS Fault/Alarm</t>
  </si>
  <si>
    <t xml:space="preserve">General UPS fault or alarm condition</t>
  </si>
  <si>
    <t xml:space="preserve">Any UPS fault = P0</t>
  </si>
  <si>
    <t xml:space="preserve">1.1.3  Distribution Chain (PDU / Busway / Branches)</t>
  </si>
  <si>
    <t xml:space="preserve">DC-PWR-020</t>
  </si>
  <si>
    <t xml:space="preserve">Distribution</t>
  </si>
  <si>
    <t xml:space="preserve">PDU-A Total Load</t>
  </si>
  <si>
    <t xml:space="preserve">Total kW on PDU-A (primary feed to IT racks)</t>
  </si>
  <si>
    <t xml:space="preserve">0–600</t>
  </si>
  <si>
    <t xml:space="preserve">PDU-A</t>
  </si>
  <si>
    <t xml:space="preserve">Alarm at 80% rated capacity</t>
  </si>
  <si>
    <t xml:space="preserve">DC-PWR-021</t>
  </si>
  <si>
    <t xml:space="preserve">PDU-B Total Load</t>
  </si>
  <si>
    <t xml:space="preserve">Total kW on PDU-B (redundant feed to IT racks)</t>
  </si>
  <si>
    <t xml:space="preserve">PDU-B</t>
  </si>
  <si>
    <t xml:space="preserve">DC-PWR-022</t>
  </si>
  <si>
    <t xml:space="preserve">Branch Circuit Load (×24)</t>
  </si>
  <si>
    <t xml:space="preserve">Individual branch breaker current — per circuit</t>
  </si>
  <si>
    <t xml:space="preserve">10s</t>
  </si>
  <si>
    <t xml:space="preserve">PDU-A/B</t>
  </si>
  <si>
    <t xml:space="preserve">Per branch; 24 instances; alarm at 80%</t>
  </si>
  <si>
    <t xml:space="preserve">DC-PWR-023</t>
  </si>
  <si>
    <t xml:space="preserve">Branch Breaker Trip (×24)</t>
  </si>
  <si>
    <t xml:space="preserve">Branch breaker tripped status — per circuit</t>
  </si>
  <si>
    <t xml:space="preserve">24 instances; any trip = P1</t>
  </si>
  <si>
    <t xml:space="preserve">DC-PWR-024</t>
  </si>
  <si>
    <t xml:space="preserve">PDU Input Breaker Status (×2)</t>
  </si>
  <si>
    <t xml:space="preserve">Main input breaker status per PDU (A+B)</t>
  </si>
  <si>
    <t xml:space="preserve">2 instances; unexpected open = P0</t>
  </si>
  <si>
    <t xml:space="preserve">DC-PWR-025</t>
  </si>
  <si>
    <t xml:space="preserve">TPM Power Feed Load</t>
  </si>
  <si>
    <t xml:space="preserve">Power consumption of Thermal Plant Module equipment</t>
  </si>
  <si>
    <t xml:space="preserve">0–150</t>
  </si>
  <si>
    <t xml:space="preserve">PM-TPM</t>
  </si>
  <si>
    <t xml:space="preserve">Separate metering from IT load</t>
  </si>
  <si>
    <t xml:space="preserve">DC-PWR-026</t>
  </si>
  <si>
    <t xml:space="preserve">Aux/BOP Power Load</t>
  </si>
  <si>
    <t xml:space="preserve">Balance of plant — lighting, security, controls, comms</t>
  </si>
  <si>
    <t xml:space="preserve">PM-AUX</t>
  </si>
  <si>
    <t xml:space="preserve">Overhead tracking for PUE calculation</t>
  </si>
  <si>
    <t xml:space="preserve">1.1.4  Generator (Class B/C Deployments)</t>
  </si>
  <si>
    <t xml:space="preserve">DC-PWR-027</t>
  </si>
  <si>
    <t xml:space="preserve">Generator</t>
  </si>
  <si>
    <t xml:space="preserve">Generator Run Status</t>
  </si>
  <si>
    <t xml:space="preserve">Engine running / stopped</t>
  </si>
  <si>
    <t xml:space="preserve">GENSET-01</t>
  </si>
  <si>
    <t xml:space="preserve">Class B/C only</t>
  </si>
  <si>
    <t xml:space="preserve">DC-PWR-028</t>
  </si>
  <si>
    <t xml:space="preserve">Generator Output Power</t>
  </si>
  <si>
    <t xml:space="preserve">Generator active power output</t>
  </si>
  <si>
    <t xml:space="preserve">Load acceptance verification</t>
  </si>
  <si>
    <t xml:space="preserve">DC-PWR-029</t>
  </si>
  <si>
    <t xml:space="preserve">Generator Fuel Level</t>
  </si>
  <si>
    <t xml:space="preserve">Fuel tank level — percentage</t>
  </si>
  <si>
    <t xml:space="preserve">4-20mA</t>
  </si>
  <si>
    <t xml:space="preserve">FUEL-LEVEL</t>
  </si>
  <si>
    <t xml:space="preserve">P2 below 50%; P1 below 25%</t>
  </si>
  <si>
    <t xml:space="preserve">DC-PWR-030</t>
  </si>
  <si>
    <t xml:space="preserve">ATS Position</t>
  </si>
  <si>
    <t xml:space="preserve">Auto Transfer Switch position (Utility/Generator/Open)</t>
  </si>
  <si>
    <t xml:space="preserve">0/1/2</t>
  </si>
  <si>
    <t xml:space="preserve">ATS-01</t>
  </si>
  <si>
    <t xml:space="preserve">P0 on open transition &gt;10s</t>
  </si>
  <si>
    <t xml:space="preserve">DC-PWR-031</t>
  </si>
  <si>
    <t xml:space="preserve">Generator Coolant Temp</t>
  </si>
  <si>
    <t xml:space="preserve">Engine coolant temperature</t>
  </si>
  <si>
    <t xml:space="preserve">0–120</t>
  </si>
  <si>
    <t xml:space="preserve">Alarm above 95°C</t>
  </si>
  <si>
    <t xml:space="preserve">DC-PWR-032</t>
  </si>
  <si>
    <t xml:space="preserve">Generator Oil Pressure</t>
  </si>
  <si>
    <t xml:space="preserve">Engine oil pressure</t>
  </si>
  <si>
    <t xml:space="preserve">0–800</t>
  </si>
  <si>
    <t xml:space="preserve">kPa</t>
  </si>
  <si>
    <t xml:space="preserve">P0 on low pressure — engine protect</t>
  </si>
  <si>
    <t xml:space="preserve">DC-PWR-033</t>
  </si>
  <si>
    <t xml:space="preserve">Generator Fault</t>
  </si>
  <si>
    <t xml:space="preserve">General engine fault/alarm from controller</t>
  </si>
  <si>
    <t xml:space="preserve">Any gen fault = P0</t>
  </si>
  <si>
    <t xml:space="preserve">1.1.5  Calculated / Virtual — Electrical</t>
  </si>
  <si>
    <t xml:space="preserve">DC-PWR-C01</t>
  </si>
  <si>
    <t xml:space="preserve">Calculated</t>
  </si>
  <si>
    <t xml:space="preserve">IT Load (Total)</t>
  </si>
  <si>
    <t xml:space="preserve">Sum of PDU-A + PDU-B loads (net IT power)</t>
  </si>
  <si>
    <t xml:space="preserve">Derived</t>
  </si>
  <si>
    <t xml:space="preserve">0–1200</t>
  </si>
  <si>
    <t xml:space="preserve">→ dc-pwr-20 + dc-pwr-21</t>
  </si>
  <si>
    <t xml:space="preserve">DC-PWR-C02</t>
  </si>
  <si>
    <t xml:space="preserve">Total Facility Load</t>
  </si>
  <si>
    <t xml:space="preserve">IT + TPM + Aux/BOP power</t>
  </si>
  <si>
    <t xml:space="preserve">→ C1 + dc-pwr-25 + dc-pwr-26</t>
  </si>
  <si>
    <t xml:space="preserve">DC-PWR-C03</t>
  </si>
  <si>
    <t xml:space="preserve">PUE (Power Usage Effectiveness)</t>
  </si>
  <si>
    <t xml:space="preserve">Total facility power / IT load</t>
  </si>
  <si>
    <t xml:space="preserve">1.0–3.0</t>
  </si>
  <si>
    <t xml:space="preserve">ratio</t>
  </si>
  <si>
    <t xml:space="preserve">→ C2 / C1; alarm above 1.25</t>
  </si>
  <si>
    <t xml:space="preserve">DC-PWR-C04</t>
  </si>
  <si>
    <t xml:space="preserve">PDU Redundancy Balance</t>
  </si>
  <si>
    <t xml:space="preserve">Load imbalance between PDU-A and PDU-B (% difference)</t>
  </si>
  <si>
    <t xml:space="preserve">Alarm if &gt;20% imbalance</t>
  </si>
  <si>
    <t xml:space="preserve">DC-PWR-C05</t>
  </si>
  <si>
    <t xml:space="preserve">Remaining kW Headroom</t>
  </si>
  <si>
    <t xml:space="preserve">Contracted capacity minus current IT load</t>
  </si>
  <si>
    <t xml:space="preserve">Capacity sell-through tracking</t>
  </si>
  <si>
    <t xml:space="preserve">1.2  PHYSICAL SECURITY</t>
  </si>
  <si>
    <t xml:space="preserve">1.2.1  Access Control</t>
  </si>
  <si>
    <t xml:space="preserve">DC-SEC-001</t>
  </si>
  <si>
    <t xml:space="preserve">Security</t>
  </si>
  <si>
    <t xml:space="preserve">Access</t>
  </si>
  <si>
    <t xml:space="preserve">Main Entry Door Status</t>
  </si>
  <si>
    <t xml:space="preserve">Compute Module main entry door — open/closed reed switch</t>
  </si>
  <si>
    <t xml:space="preserve">Dry Contact</t>
  </si>
  <si>
    <t xml:space="preserve">DOOR-01</t>
  </si>
  <si>
    <t xml:space="preserve">P1 if open &gt;60s without badge event</t>
  </si>
  <si>
    <t xml:space="preserve">DC-SEC-002</t>
  </si>
  <si>
    <t xml:space="preserve">Main Entry Badge Reader</t>
  </si>
  <si>
    <t xml:space="preserve">Badge-in event with credential ID and timestamp</t>
  </si>
  <si>
    <t xml:space="preserve">OSDP</t>
  </si>
  <si>
    <t xml:space="preserve">Event</t>
  </si>
  <si>
    <t xml:space="preserve">READER-01</t>
  </si>
  <si>
    <t xml:space="preserve">Logged to access audit trail</t>
  </si>
  <si>
    <t xml:space="preserve">DC-SEC-003</t>
  </si>
  <si>
    <t xml:space="preserve">Main Entry REX (Request to Exit)</t>
  </si>
  <si>
    <t xml:space="preserve">PIR sensor for egress without badge</t>
  </si>
  <si>
    <t xml:space="preserve">REX-01</t>
  </si>
  <si>
    <t xml:space="preserve">Logged for occupancy tracking</t>
  </si>
  <si>
    <t xml:space="preserve">DC-SEC-004</t>
  </si>
  <si>
    <t xml:space="preserve">TPM Entry Door Status</t>
  </si>
  <si>
    <t xml:space="preserve">Thermal Plant Module entry door — open/closed</t>
  </si>
  <si>
    <t xml:space="preserve">DOOR-02</t>
  </si>
  <si>
    <t xml:space="preserve">Separate access zone from IT</t>
  </si>
  <si>
    <t xml:space="preserve">DC-SEC-005</t>
  </si>
  <si>
    <t xml:space="preserve">TPM Badge Reader</t>
  </si>
  <si>
    <t xml:space="preserve">Badge-in event for TPM zone</t>
  </si>
  <si>
    <t xml:space="preserve">READER-02</t>
  </si>
  <si>
    <t xml:space="preserve">Different access permissions than IT zone</t>
  </si>
  <si>
    <t xml:space="preserve">DC-SEC-006</t>
  </si>
  <si>
    <t xml:space="preserve">Emergency Exit Door Status</t>
  </si>
  <si>
    <t xml:space="preserve">Emergency/fire exit door — open/closed + tamper</t>
  </si>
  <si>
    <t xml:space="preserve">DOOR-03</t>
  </si>
  <si>
    <t xml:space="preserve">P0 on unauthorized open outside fire alarm</t>
  </si>
  <si>
    <t xml:space="preserve">DC-SEC-007</t>
  </si>
  <si>
    <t xml:space="preserve">Cabinet/Rack Lock Status (×n)</t>
  </si>
  <si>
    <t xml:space="preserve">Individual rack cabinet lock — locked/unlocked</t>
  </si>
  <si>
    <t xml:space="preserve">LOCK-Rnn</t>
  </si>
  <si>
    <t xml:space="preserve">Per colo rack; n = deployed rack count</t>
  </si>
  <si>
    <t xml:space="preserve">DC-SEC-008</t>
  </si>
  <si>
    <t xml:space="preserve">Door Lock Command — Main</t>
  </si>
  <si>
    <t xml:space="preserve">Electric strike/maglock release command</t>
  </si>
  <si>
    <t xml:space="preserve">STRIKE-01</t>
  </si>
  <si>
    <t xml:space="preserve">Command from access controller or MCS</t>
  </si>
  <si>
    <t xml:space="preserve">DC-SEC-009</t>
  </si>
  <si>
    <t xml:space="preserve">Door Lock Command — TPM</t>
  </si>
  <si>
    <t xml:space="preserve">TPM door lock release command</t>
  </si>
  <si>
    <t xml:space="preserve">STRIKE-02</t>
  </si>
  <si>
    <t xml:space="preserve">Independent from IT zone control</t>
  </si>
  <si>
    <t xml:space="preserve">1.2.2  Video Surveillance</t>
  </si>
  <si>
    <t xml:space="preserve">DC-SEC-010</t>
  </si>
  <si>
    <t xml:space="preserve">CCTV</t>
  </si>
  <si>
    <t xml:space="preserve">Camera Status — Main Entry (×1)</t>
  </si>
  <si>
    <t xml:space="preserve">IP camera health status — online/offline</t>
  </si>
  <si>
    <t xml:space="preserve">ONVIF</t>
  </si>
  <si>
    <t xml:space="preserve">CAM-01</t>
  </si>
  <si>
    <t xml:space="preserve">P2 on camera offline &gt;5 min</t>
  </si>
  <si>
    <t xml:space="preserve">DC-SEC-011</t>
  </si>
  <si>
    <t xml:space="preserve">Camera Status — IT Room (×2)</t>
  </si>
  <si>
    <t xml:space="preserve">IP camera health for IT rack area coverage</t>
  </si>
  <si>
    <t xml:space="preserve">CAM-02/03</t>
  </si>
  <si>
    <t xml:space="preserve">2 cameras for aisle coverage</t>
  </si>
  <si>
    <t xml:space="preserve">DC-SEC-012</t>
  </si>
  <si>
    <t xml:space="preserve">Camera Status — TPM (×1)</t>
  </si>
  <si>
    <t xml:space="preserve">IP camera health for Thermal Plant Module area</t>
  </si>
  <si>
    <t xml:space="preserve">CAM-04</t>
  </si>
  <si>
    <t xml:space="preserve">Covers pumps, HX, valves</t>
  </si>
  <si>
    <t xml:space="preserve">DC-SEC-013</t>
  </si>
  <si>
    <t xml:space="preserve">Camera Status — Exterior (×1)</t>
  </si>
  <si>
    <t xml:space="preserve">IP camera for external approach and signage</t>
  </si>
  <si>
    <t xml:space="preserve">CAM-05</t>
  </si>
  <si>
    <t xml:space="preserve">Perimeter awareness</t>
  </si>
  <si>
    <t xml:space="preserve">DC-SEC-014</t>
  </si>
  <si>
    <t xml:space="preserve">NVR Storage Health</t>
  </si>
  <si>
    <t xml:space="preserve">NVR disk health, remaining capacity, recording status</t>
  </si>
  <si>
    <t xml:space="preserve">SNMP</t>
  </si>
  <si>
    <t xml:space="preserve">300s</t>
  </si>
  <si>
    <t xml:space="preserve">NVR-01</t>
  </si>
  <si>
    <t xml:space="preserve">Alarm below 20% remaining capacity</t>
  </si>
  <si>
    <t xml:space="preserve">DC-SEC-015</t>
  </si>
  <si>
    <t xml:space="preserve">Motion Detection Alert</t>
  </si>
  <si>
    <t xml:space="preserve">Any camera motion event outside scheduled access</t>
  </si>
  <si>
    <t xml:space="preserve">CAM-All</t>
  </si>
  <si>
    <t xml:space="preserve">After-hours motion = auto P2</t>
  </si>
  <si>
    <t xml:space="preserve">1.2.3  Intrusion Detection</t>
  </si>
  <si>
    <t xml:space="preserve">DC-SEC-016</t>
  </si>
  <si>
    <t xml:space="preserve">Intrusion</t>
  </si>
  <si>
    <t xml:space="preserve">PIR Sensor — IT Room</t>
  </si>
  <si>
    <t xml:space="preserve">Passive infrared occupancy/intrusion sensor</t>
  </si>
  <si>
    <t xml:space="preserve">PIR-01</t>
  </si>
  <si>
    <t xml:space="preserve">After-hours trigger = P1 + CCTV capture</t>
  </si>
  <si>
    <t xml:space="preserve">DC-SEC-017</t>
  </si>
  <si>
    <t xml:space="preserve">PIR Sensor — TPM</t>
  </si>
  <si>
    <t xml:space="preserve">Passive infrared occupancy/intrusion — TPM zone</t>
  </si>
  <si>
    <t xml:space="preserve">PIR-02</t>
  </si>
  <si>
    <t xml:space="preserve">Independent zone</t>
  </si>
  <si>
    <t xml:space="preserve">DC-SEC-018</t>
  </si>
  <si>
    <t xml:space="preserve">Duress Alarm Button</t>
  </si>
  <si>
    <t xml:space="preserve">Manual panic/duress button at entry</t>
  </si>
  <si>
    <t xml:space="preserve">PANIC-01</t>
  </si>
  <si>
    <t xml:space="preserve">P0 — silent alarm to NOC + local security</t>
  </si>
  <si>
    <t xml:space="preserve">DC-SEC-019</t>
  </si>
  <si>
    <t xml:space="preserve">Security Panel Fault</t>
  </si>
  <si>
    <t xml:space="preserve">General fault from security panel (comms/power/tamper)</t>
  </si>
  <si>
    <t xml:space="preserve">SEC-PANEL</t>
  </si>
  <si>
    <t xml:space="preserve">Security system self-monitoring</t>
  </si>
  <si>
    <t xml:space="preserve">DC-SEC-020</t>
  </si>
  <si>
    <t xml:space="preserve">Arm/Disarm Status</t>
  </si>
  <si>
    <t xml:space="preserve">Security system arm/disarm state</t>
  </si>
  <si>
    <t xml:space="preserve">REST API</t>
  </si>
  <si>
    <t xml:space="preserve">Correlate with access events</t>
  </si>
  <si>
    <t xml:space="preserve">DC-SEC-C01</t>
  </si>
  <si>
    <t xml:space="preserve">Occupancy Count (IT Zone)</t>
  </si>
  <si>
    <t xml:space="preserve">Estimated occupancy from badge-in minus badge-out/REX events</t>
  </si>
  <si>
    <t xml:space="preserve">0–20</t>
  </si>
  <si>
    <t xml:space="preserve">ppl</t>
  </si>
  <si>
    <t xml:space="preserve">Anomaly detection on unusual counts</t>
  </si>
  <si>
    <t xml:space="preserve">DC-SEC-C02</t>
  </si>
  <si>
    <t xml:space="preserve">Occupancy Count (TPM Zone)</t>
  </si>
  <si>
    <t xml:space="preserve">Estimated TPM zone occupancy</t>
  </si>
  <si>
    <t xml:space="preserve">0–10</t>
  </si>
  <si>
    <t xml:space="preserve">Lone worker awareness</t>
  </si>
  <si>
    <t xml:space="preserve">1.3  ENVIRONMENTAL MONITORING</t>
  </si>
  <si>
    <t xml:space="preserve">1.3.1  Temperature &amp; Humidity — IT Zone</t>
  </si>
  <si>
    <t xml:space="preserve">DC-ENV-001</t>
  </si>
  <si>
    <t xml:space="preserve">Environment</t>
  </si>
  <si>
    <t xml:space="preserve">Temp/RH</t>
  </si>
  <si>
    <t xml:space="preserve">Rack Inlet Temp — Cold Aisle (×n)</t>
  </si>
  <si>
    <t xml:space="preserve">Per-rack cold aisle inlet temperature sensor</t>
  </si>
  <si>
    <t xml:space="preserve">Modbus/SNMP</t>
  </si>
  <si>
    <t xml:space="preserve">10–50</t>
  </si>
  <si>
    <t xml:space="preserve">TEMP-Rnn-I</t>
  </si>
  <si>
    <t xml:space="preserve">n per rack; ASHRAE A1: 18–27°C; alarm ±3°C</t>
  </si>
  <si>
    <t xml:space="preserve">DC-ENV-002</t>
  </si>
  <si>
    <t xml:space="preserve">Rack Exhaust Temp — Hot Aisle (×n)</t>
  </si>
  <si>
    <t xml:space="preserve">Per-rack hot aisle exhaust temperature</t>
  </si>
  <si>
    <t xml:space="preserve">15–65</t>
  </si>
  <si>
    <t xml:space="preserve">TEMP-Rnn-E</t>
  </si>
  <si>
    <t xml:space="preserve">Trending for cooling capacity verification</t>
  </si>
  <si>
    <t xml:space="preserve">DC-ENV-003</t>
  </si>
  <si>
    <t xml:space="preserve">Room Ambient Temp — IT</t>
  </si>
  <si>
    <t xml:space="preserve">General IT room ambient temperature (overhead)</t>
  </si>
  <si>
    <t xml:space="preserve">BACnet/IP</t>
  </si>
  <si>
    <t xml:space="preserve">TEMP-RM-01</t>
  </si>
  <si>
    <t xml:space="preserve">Backup reference; alarm at 30°C</t>
  </si>
  <si>
    <t xml:space="preserve">DC-ENV-004</t>
  </si>
  <si>
    <t xml:space="preserve">Room Humidity — IT</t>
  </si>
  <si>
    <t xml:space="preserve">IT room relative humidity</t>
  </si>
  <si>
    <t xml:space="preserve">%RH</t>
  </si>
  <si>
    <t xml:space="preserve">RH-RM-01</t>
  </si>
  <si>
    <t xml:space="preserve">ASHRAE A1: 8–80% RH; alarm outside range</t>
  </si>
  <si>
    <t xml:space="preserve">DC-ENV-005</t>
  </si>
  <si>
    <t xml:space="preserve">Dew Point — IT Room</t>
  </si>
  <si>
    <t xml:space="preserve">Calculated or sensed dew point</t>
  </si>
  <si>
    <t xml:space="preserve">-10–30</t>
  </si>
  <si>
    <t xml:space="preserve">Condensation risk; alarm above 15°C DP</t>
  </si>
  <si>
    <t xml:space="preserve">1.3.2  Temperature &amp; Humidity — TPM Zone</t>
  </si>
  <si>
    <t xml:space="preserve">DC-ENV-006</t>
  </si>
  <si>
    <t xml:space="preserve">TPM Room Ambient Temp</t>
  </si>
  <si>
    <t xml:space="preserve">Thermal Plant Module room ambient temperature</t>
  </si>
  <si>
    <t xml:space="preserve">5–50</t>
  </si>
  <si>
    <t xml:space="preserve">TEMP-TPM-01</t>
  </si>
  <si>
    <t xml:space="preserve">Wider range than IT zone acceptable</t>
  </si>
  <si>
    <t xml:space="preserve">DC-ENV-007</t>
  </si>
  <si>
    <t xml:space="preserve">TPM Room Humidity</t>
  </si>
  <si>
    <t xml:space="preserve">TPM room relative humidity</t>
  </si>
  <si>
    <t xml:space="preserve">120s</t>
  </si>
  <si>
    <t xml:space="preserve">RH-TPM-01</t>
  </si>
  <si>
    <t xml:space="preserve">Less critical than IT zone</t>
  </si>
  <si>
    <t xml:space="preserve">1.3.3  Water &amp; Leak Detection</t>
  </si>
  <si>
    <t xml:space="preserve">DC-ENV-008</t>
  </si>
  <si>
    <t xml:space="preserve">Leak</t>
  </si>
  <si>
    <t xml:space="preserve">Leak Sensor — Under Rack Row A</t>
  </si>
  <si>
    <t xml:space="preserve">Rope/spot leak sensor under rack row A</t>
  </si>
  <si>
    <t xml:space="preserve">LEAK-RA</t>
  </si>
  <si>
    <t xml:space="preserve">P0 — immediate investigation</t>
  </si>
  <si>
    <t xml:space="preserve">DC-ENV-009</t>
  </si>
  <si>
    <t xml:space="preserve">Leak Sensor — Under Rack Row B</t>
  </si>
  <si>
    <t xml:space="preserve">Rope/spot leak sensor under rack row B</t>
  </si>
  <si>
    <t xml:space="preserve">LEAK-RB</t>
  </si>
  <si>
    <t xml:space="preserve">P0 — liquid in IT zone</t>
  </si>
  <si>
    <t xml:space="preserve">DC-ENV-010</t>
  </si>
  <si>
    <t xml:space="preserve">Leak Sensor — CDU Zone</t>
  </si>
  <si>
    <t xml:space="preserve">Leak detection around CDU manifolds</t>
  </si>
  <si>
    <t xml:space="preserve">LEAK-CDU</t>
  </si>
  <si>
    <t xml:space="preserve">P0 — trigger CDU isolation sequence</t>
  </si>
  <si>
    <t xml:space="preserve">DC-ENV-011</t>
  </si>
  <si>
    <t xml:space="preserve">Leak Sensor — TPM Floor</t>
  </si>
  <si>
    <t xml:space="preserve">TPM zone general floor leak detection</t>
  </si>
  <si>
    <t xml:space="preserve">LEAK-TPM</t>
  </si>
  <si>
    <t xml:space="preserve">Expected environment — P1 not P0</t>
  </si>
  <si>
    <t xml:space="preserve">DC-ENV-012</t>
  </si>
  <si>
    <t xml:space="preserve">Leak Sensor — Pipe Route</t>
  </si>
  <si>
    <t xml:space="preserve">Pipe penetration / route between CM and TPM</t>
  </si>
  <si>
    <t xml:space="preserve">LEAK-PIPE</t>
  </si>
  <si>
    <t xml:space="preserve">Critical isolation zone</t>
  </si>
  <si>
    <t xml:space="preserve">1.3.4  Fire &amp; Smoke Detection</t>
  </si>
  <si>
    <t xml:space="preserve">DC-ENV-013</t>
  </si>
  <si>
    <t xml:space="preserve">Fire</t>
  </si>
  <si>
    <t xml:space="preserve">Smoke Detector — IT Room (×n)</t>
  </si>
  <si>
    <t xml:space="preserve">Addressable smoke detectors in IT zone</t>
  </si>
  <si>
    <t xml:space="preserve">Fire Panel</t>
  </si>
  <si>
    <t xml:space="preserve">SMOKE-IT-nn</t>
  </si>
  <si>
    <t xml:space="preserve">Fire panel integration via relay or Modbus</t>
  </si>
  <si>
    <t xml:space="preserve">DC-ENV-014</t>
  </si>
  <si>
    <t xml:space="preserve">Smoke Detector — TPM (×n)</t>
  </si>
  <si>
    <t xml:space="preserve">Addressable smoke detectors in TPM zone</t>
  </si>
  <si>
    <t xml:space="preserve">SMOKE-TPM-nn</t>
  </si>
  <si>
    <t xml:space="preserve">Separate zone from IT</t>
  </si>
  <si>
    <t xml:space="preserve">DC-ENV-015</t>
  </si>
  <si>
    <t xml:space="preserve">VESDA Alert Level</t>
  </si>
  <si>
    <t xml:space="preserve">Very Early Smoke Detection — alert/action/fire levels</t>
  </si>
  <si>
    <t xml:space="preserve">0–3</t>
  </si>
  <si>
    <t xml:space="preserve">Level</t>
  </si>
  <si>
    <t xml:space="preserve">VESDA-01</t>
  </si>
  <si>
    <t xml:space="preserve">0=Normal, 1=Alert, 2=Action, 3=Fire</t>
  </si>
  <si>
    <t xml:space="preserve">DC-ENV-016</t>
  </si>
  <si>
    <t xml:space="preserve">Fire Panel General Alarm</t>
  </si>
  <si>
    <t xml:space="preserve">Fire alarm panel in alarm state</t>
  </si>
  <si>
    <t xml:space="preserve">FIRE-PANEL</t>
  </si>
  <si>
    <t xml:space="preserve">P0 — immediate action; coordinate with host</t>
  </si>
  <si>
    <t xml:space="preserve">DC-ENV-017</t>
  </si>
  <si>
    <t xml:space="preserve">Fire Panel Fault</t>
  </si>
  <si>
    <t xml:space="preserve">Fire system fault (wiring, detector, battery)</t>
  </si>
  <si>
    <t xml:space="preserve">Regulatory compliance monitoring</t>
  </si>
  <si>
    <t xml:space="preserve">DC-ENV-018</t>
  </si>
  <si>
    <t xml:space="preserve">Suppression System Armed</t>
  </si>
  <si>
    <t xml:space="preserve">Gas/clean agent suppression system arm status</t>
  </si>
  <si>
    <t xml:space="preserve">SUPP-01</t>
  </si>
  <si>
    <t xml:space="preserve">Alert if disarmed outside maintenance</t>
  </si>
  <si>
    <t xml:space="preserve">DC-ENV-019</t>
  </si>
  <si>
    <t xml:space="preserve">Suppression Discharged</t>
  </si>
  <si>
    <t xml:space="preserve">Suppression agent has been released</t>
  </si>
  <si>
    <t xml:space="preserve">P0 — room entry restriction</t>
  </si>
  <si>
    <t xml:space="preserve">1.3.5  Air Quality</t>
  </si>
  <si>
    <t xml:space="preserve">DC-ENV-020</t>
  </si>
  <si>
    <t xml:space="preserve">Air Quality</t>
  </si>
  <si>
    <t xml:space="preserve">Particulate PM2.5 — IT</t>
  </si>
  <si>
    <t xml:space="preserve">Fine particulate matter in IT zone</t>
  </si>
  <si>
    <t xml:space="preserve">Modbus</t>
  </si>
  <si>
    <t xml:space="preserve">µg/m³</t>
  </si>
  <si>
    <t xml:space="preserve">AQ-IT-01</t>
  </si>
  <si>
    <t xml:space="preserve">ISO 14644; alarm above 100 µg/m³</t>
  </si>
  <si>
    <t xml:space="preserve">DC-ENV-021</t>
  </si>
  <si>
    <t xml:space="preserve">CO Level — Generator Area</t>
  </si>
  <si>
    <t xml:space="preserve">Carbon monoxide near generator exhaust</t>
  </si>
  <si>
    <t xml:space="preserve">ppm</t>
  </si>
  <si>
    <t xml:space="preserve">CO-GEN-01</t>
  </si>
  <si>
    <t xml:space="preserve">P0 above 50 ppm; Class B/C only</t>
  </si>
  <si>
    <t xml:space="preserve">DC-ENV-022</t>
  </si>
  <si>
    <t xml:space="preserve">Glycol Vapour — TPM</t>
  </si>
  <si>
    <t xml:space="preserve">VOC/glycol vapor detection in TPM zone</t>
  </si>
  <si>
    <t xml:space="preserve">VOC-TPM-01</t>
  </si>
  <si>
    <t xml:space="preserve">Glycol leak indicator in thermal zone</t>
  </si>
  <si>
    <t xml:space="preserve">1.3.6  Ventilation &amp; HVAC</t>
  </si>
  <si>
    <t xml:space="preserve">DC-ENV-023</t>
  </si>
  <si>
    <t xml:space="preserve">HVAC</t>
  </si>
  <si>
    <t xml:space="preserve">HVAC Supply Air Temp — IT</t>
  </si>
  <si>
    <t xml:space="preserve">Supply air temperature (if supplementary AC present)</t>
  </si>
  <si>
    <t xml:space="preserve">10–30</t>
  </si>
  <si>
    <t xml:space="preserve">AHU-IT-01</t>
  </si>
  <si>
    <t xml:space="preserve">For non-liquid-cooled components</t>
  </si>
  <si>
    <t xml:space="preserve">DC-ENV-024</t>
  </si>
  <si>
    <t xml:space="preserve">HVAC Fan Status — IT</t>
  </si>
  <si>
    <t xml:space="preserve">Fan run/stop status</t>
  </si>
  <si>
    <t xml:space="preserve">Alarm on unexpected stop</t>
  </si>
  <si>
    <t xml:space="preserve">DC-ENV-025</t>
  </si>
  <si>
    <t xml:space="preserve">TPM Exhaust Fan Status</t>
  </si>
  <si>
    <t xml:space="preserve">TPM zone ventilation fan — run/stop</t>
  </si>
  <si>
    <t xml:space="preserve">FAN-TPM-01</t>
  </si>
  <si>
    <t xml:space="preserve">Ventilation for glycol vapour management</t>
  </si>
  <si>
    <t xml:space="preserve">DC-ENV-026</t>
  </si>
  <si>
    <t xml:space="preserve">TPM Exhaust Fan Command</t>
  </si>
  <si>
    <t xml:space="preserve">Start/stop command for TPM exhaust fan</t>
  </si>
  <si>
    <t xml:space="preserve">Auto-start on VOC alarm</t>
  </si>
  <si>
    <t xml:space="preserve">DC-ENV-C01</t>
  </si>
  <si>
    <t xml:space="preserve">ΔT Rack Average (Hot-Cold)</t>
  </si>
  <si>
    <t xml:space="preserve">Average temperature rise across IT racks</t>
  </si>
  <si>
    <t xml:space="preserve">Cooling effectiveness indicator</t>
  </si>
  <si>
    <t xml:space="preserve">DC-ENV-C02</t>
  </si>
  <si>
    <t xml:space="preserve">Thermal Map Score</t>
  </si>
  <si>
    <t xml:space="preserve">Composite score from all zone sensors — hotspot indicator</t>
  </si>
  <si>
    <t xml:space="preserve">score</t>
  </si>
  <si>
    <t xml:space="preserve">ML anomaly detection candidate</t>
  </si>
  <si>
    <t xml:space="preserve">DC-ENV-C03</t>
  </si>
  <si>
    <t xml:space="preserve">Airside Cooling Fraction</t>
  </si>
  <si>
    <t xml:space="preserve">% of total heat removed by air vs liquid</t>
  </si>
  <si>
    <t xml:space="preserve">Design verification; should be &lt;15%</t>
  </si>
  <si>
    <t xml:space="preserve">DC-ENV-C04</t>
  </si>
  <si>
    <t xml:space="preserve">EUE (Energy Usage Effectiveness)</t>
  </si>
  <si>
    <t xml:space="preserve">Extended metric including external energy recovery</t>
  </si>
  <si>
    <t xml:space="preserve">0–2.0</t>
  </si>
  <si>
    <t xml:space="preserve">Accounts for thermal export credit</t>
  </si>
  <si>
    <t xml:space="preserve">1.4  NETWORK &amp; CONNECTIVITY</t>
  </si>
  <si>
    <t xml:space="preserve">1.4.1  WAN / Route Diversity</t>
  </si>
  <si>
    <t xml:space="preserve">DC-NET-001</t>
  </si>
  <si>
    <t xml:space="preserve">Network</t>
  </si>
  <si>
    <t xml:space="preserve">WAN</t>
  </si>
  <si>
    <t xml:space="preserve">Route A — Link State</t>
  </si>
  <si>
    <t xml:space="preserve">Primary diverse fiber path — up/down</t>
  </si>
  <si>
    <t xml:space="preserve">RTR-01</t>
  </si>
  <si>
    <t xml:space="preserve">P0 on down — single route exposure</t>
  </si>
  <si>
    <t xml:space="preserve">DC-NET-002</t>
  </si>
  <si>
    <t xml:space="preserve">Route B — Link State</t>
  </si>
  <si>
    <t xml:space="preserve">Secondary diverse fiber path — up/down</t>
  </si>
  <si>
    <t xml:space="preserve">P0 if both routes down = isolated</t>
  </si>
  <si>
    <t xml:space="preserve">DC-NET-003</t>
  </si>
  <si>
    <t xml:space="preserve">Route A — Optical Power</t>
  </si>
  <si>
    <t xml:space="preserve">SFP/QSFP receive optical power — Route A</t>
  </si>
  <si>
    <t xml:space="preserve">-40–0</t>
  </si>
  <si>
    <t xml:space="preserve">dBm</t>
  </si>
  <si>
    <t xml:space="preserve">Alarm on degradation trend</t>
  </si>
  <si>
    <t xml:space="preserve">DC-NET-004</t>
  </si>
  <si>
    <t xml:space="preserve">Route B — Optical Power</t>
  </si>
  <si>
    <t xml:space="preserve">SFP/QSFP receive optical power — Route B</t>
  </si>
  <si>
    <t xml:space="preserve">Pre-failure warning on optics</t>
  </si>
  <si>
    <t xml:space="preserve">DC-NET-005</t>
  </si>
  <si>
    <t xml:space="preserve">Route A — CRC/FCS Errors</t>
  </si>
  <si>
    <t xml:space="preserve">Layer 2 error rate on Route A interface</t>
  </si>
  <si>
    <t xml:space="preserve">err/s</t>
  </si>
  <si>
    <t xml:space="preserve">Alarm above baseline + 3 std dev</t>
  </si>
  <si>
    <t xml:space="preserve">DC-NET-006</t>
  </si>
  <si>
    <t xml:space="preserve">Route B — CRC/FCS Errors</t>
  </si>
  <si>
    <t xml:space="preserve">Layer 2 error rate on Route B interface</t>
  </si>
  <si>
    <t xml:space="preserve">1.4.2  Performance &amp; Latency</t>
  </si>
  <si>
    <t xml:space="preserve">DC-NET-007</t>
  </si>
  <si>
    <t xml:space="preserve">Performance</t>
  </si>
  <si>
    <t xml:space="preserve">Latency to MMR Handoff</t>
  </si>
  <si>
    <t xml:space="preserve">Round-trip latency to colo MMR or IX point</t>
  </si>
  <si>
    <t xml:space="preserve">ICMP/gRPC</t>
  </si>
  <si>
    <t xml:space="preserve">ms</t>
  </si>
  <si>
    <t xml:space="preserve">PROBE-01</t>
  </si>
  <si>
    <t xml:space="preserve">SLA baseline compliance</t>
  </si>
  <si>
    <t xml:space="preserve">DC-NET-008</t>
  </si>
  <si>
    <t xml:space="preserve">Jitter — Route A</t>
  </si>
  <si>
    <t xml:space="preserve">Packet jitter on primary route</t>
  </si>
  <si>
    <t xml:space="preserve">gRPC</t>
  </si>
  <si>
    <t xml:space="preserve">0–50</t>
  </si>
  <si>
    <t xml:space="preserve">Quality-of-service indicator</t>
  </si>
  <si>
    <t xml:space="preserve">DC-NET-009</t>
  </si>
  <si>
    <t xml:space="preserve">Packet Loss %</t>
  </si>
  <si>
    <t xml:space="preserve">Measured packet loss across both routes</t>
  </si>
  <si>
    <t xml:space="preserve">P1 above 0.1% loss</t>
  </si>
  <si>
    <t xml:space="preserve">1.4.3  OOB &amp; Management Network</t>
  </si>
  <si>
    <t xml:space="preserve">DC-NET-010</t>
  </si>
  <si>
    <t xml:space="preserve">OOB</t>
  </si>
  <si>
    <t xml:space="preserve">OOB Management Link</t>
  </si>
  <si>
    <t xml:space="preserve">Out-of-band management network link state</t>
  </si>
  <si>
    <t xml:space="preserve">OOB-SW-01</t>
  </si>
  <si>
    <t xml:space="preserve">Independent from customer data plane</t>
  </si>
  <si>
    <t xml:space="preserve">DC-NET-011</t>
  </si>
  <si>
    <t xml:space="preserve">Edge Gateway Heartbeat</t>
  </si>
  <si>
    <t xml:space="preserve">MCS edge controller heartbeat to central NOC</t>
  </si>
  <si>
    <t xml:space="preserve">MQTT</t>
  </si>
  <si>
    <t xml:space="preserve">EDGE-GW</t>
  </si>
  <si>
    <t xml:space="preserve">P0 — loss of remote monitoring</t>
  </si>
  <si>
    <t xml:space="preserve">DC-NET-012</t>
  </si>
  <si>
    <t xml:space="preserve">VPN Tunnel Status</t>
  </si>
  <si>
    <t xml:space="preserve">Site-to-NOC VPN tunnel state</t>
  </si>
  <si>
    <t xml:space="preserve">FW-01</t>
  </si>
  <si>
    <t xml:space="preserve">Backup via cellular if primary down</t>
  </si>
  <si>
    <t xml:space="preserve">DC-NET-C01</t>
  </si>
  <si>
    <t xml:space="preserve">Route Diversity Score</t>
  </si>
  <si>
    <t xml:space="preserve">Composite availability of dual diverse routes</t>
  </si>
  <si>
    <t xml:space="preserve">100%=both up; 50%=one down; 0%=isolated</t>
  </si>
  <si>
    <t xml:space="preserve">DC-NET-C02</t>
  </si>
  <si>
    <t xml:space="preserve">SLA Compliance — Latency</t>
  </si>
  <si>
    <t xml:space="preserve">% of time latency within SLA threshold</t>
  </si>
  <si>
    <t xml:space="preserve">Rolling 30-day window</t>
  </si>
  <si>
    <t xml:space="preserve">DC-NET-C03</t>
  </si>
  <si>
    <t xml:space="preserve">Network Availability — Monthly</t>
  </si>
  <si>
    <t xml:space="preserve">Uptime percentage for network services</t>
  </si>
  <si>
    <t xml:space="preserve">SLA reporting; target 99.99%</t>
  </si>
  <si>
    <t xml:space="preserve">DC-NET-C04</t>
  </si>
  <si>
    <t xml:space="preserve">MCS Connectivity Score</t>
  </si>
  <si>
    <t xml:space="preserve">Composite of OOB + VPN + heartbeat for remote mgmt</t>
  </si>
  <si>
    <t xml:space="preserve">0% = site dark to NOC</t>
  </si>
  <si>
    <t xml:space="preserve">DC-NET-C05</t>
  </si>
  <si>
    <t xml:space="preserve">Bandwidth Utilization — Route A</t>
  </si>
  <si>
    <t xml:space="preserve">Traffic utilization as % of port capacity</t>
  </si>
  <si>
    <t xml:space="preserve">Capacity planning; alarm at 80%</t>
  </si>
  <si>
    <t xml:space="preserve">DC-NET-C06</t>
  </si>
  <si>
    <t xml:space="preserve">Bandwidth Utilization — Route B</t>
  </si>
  <si>
    <t xml:space="preserve">1.5  COMPUTE &amp; IT INFRASTRUCTURE</t>
  </si>
  <si>
    <t xml:space="preserve">1.5.1  Rack-Level Telemetry</t>
  </si>
  <si>
    <t xml:space="preserve">DC-IT-001</t>
  </si>
  <si>
    <t xml:space="preserve">Compute</t>
  </si>
  <si>
    <t xml:space="preserve">Rack</t>
  </si>
  <si>
    <t xml:space="preserve">Rack Power — Per Rack (×n)</t>
  </si>
  <si>
    <t xml:space="preserve">Individual rack total power consumption via intelligent PDU</t>
  </si>
  <si>
    <t xml:space="preserve">SNMP/Modbus</t>
  </si>
  <si>
    <t xml:space="preserve">0–200</t>
  </si>
  <si>
    <t xml:space="preserve">iPDU-Rnn</t>
  </si>
  <si>
    <t xml:space="preserve">n = deployed racks; alarm at rated capacity</t>
  </si>
  <si>
    <t xml:space="preserve">DC-IT-002</t>
  </si>
  <si>
    <t xml:space="preserve">Rack Inlet Coolant Temp (×n)</t>
  </si>
  <si>
    <t xml:space="preserve">Liquid coolant inlet temp at rack manifold</t>
  </si>
  <si>
    <t xml:space="preserve">10–40</t>
  </si>
  <si>
    <t xml:space="preserve">TEMP-RCL-nn</t>
  </si>
  <si>
    <t xml:space="preserve">Alarm if supply temp rises above setpoint +3°C</t>
  </si>
  <si>
    <t xml:space="preserve">DC-IT-003</t>
  </si>
  <si>
    <t xml:space="preserve">Rack Outlet Coolant Temp (×n)</t>
  </si>
  <si>
    <t xml:space="preserve">Liquid coolant outlet temp at rack manifold</t>
  </si>
  <si>
    <t xml:space="preserve">20–70</t>
  </si>
  <si>
    <t xml:space="preserve">Used for ΔT and kWt calculation</t>
  </si>
  <si>
    <t xml:space="preserve">DC-IT-004</t>
  </si>
  <si>
    <t xml:space="preserve">Rack Coolant Flow (×n)</t>
  </si>
  <si>
    <t xml:space="preserve">Coolant volumetric flow rate per rack manifold</t>
  </si>
  <si>
    <t xml:space="preserve">L/min</t>
  </si>
  <si>
    <t xml:space="preserve">FLOW-RCL-nn</t>
  </si>
  <si>
    <t xml:space="preserve">Low flow = P1; zero flow = P0</t>
  </si>
  <si>
    <t xml:space="preserve">1.5.2  CDU Monitoring</t>
  </si>
  <si>
    <t xml:space="preserve">DC-IT-005</t>
  </si>
  <si>
    <t xml:space="preserve">CDU</t>
  </si>
  <si>
    <t xml:space="preserve">CDU Status (×n)</t>
  </si>
  <si>
    <t xml:space="preserve">CDU operational status — run/stop/fault</t>
  </si>
  <si>
    <t xml:space="preserve">CDU-nn</t>
  </si>
  <si>
    <t xml:space="preserve">P0 on fault; n = CDU count</t>
  </si>
  <si>
    <t xml:space="preserve">DC-IT-006</t>
  </si>
  <si>
    <t xml:space="preserve">CDU Primary Supply Temp</t>
  </si>
  <si>
    <t xml:space="preserve">CDU primary-side coolant supply temperature</t>
  </si>
  <si>
    <t xml:space="preserve">IT-side setpoint verification</t>
  </si>
  <si>
    <t xml:space="preserve">DC-IT-007</t>
  </si>
  <si>
    <t xml:space="preserve">CDU Primary Return Temp</t>
  </si>
  <si>
    <t xml:space="preserve">CDU primary-side coolant return temperature</t>
  </si>
  <si>
    <t xml:space="preserve">Heat pickup verification</t>
  </si>
  <si>
    <t xml:space="preserve">DC-IT-008</t>
  </si>
  <si>
    <t xml:space="preserve">CDU Secondary Supply Temp</t>
  </si>
  <si>
    <t xml:space="preserve">CDU secondary-side (building loop) supply temperature</t>
  </si>
  <si>
    <t xml:space="preserve">15–55</t>
  </si>
  <si>
    <t xml:space="preserve">Cross-loop reference</t>
  </si>
  <si>
    <t xml:space="preserve">DC-IT-009</t>
  </si>
  <si>
    <t xml:space="preserve">CDU Secondary Return Temp</t>
  </si>
  <si>
    <t xml:space="preserve">CDU secondary-side return temperature</t>
  </si>
  <si>
    <t xml:space="preserve">25–65</t>
  </si>
  <si>
    <t xml:space="preserve">DC-IT-010</t>
  </si>
  <si>
    <t xml:space="preserve">CDU Flow Rate</t>
  </si>
  <si>
    <t xml:space="preserve">CDU primary-side total flow rate</t>
  </si>
  <si>
    <t xml:space="preserve">Low flow alarm</t>
  </si>
  <si>
    <t xml:space="preserve">DC-IT-011</t>
  </si>
  <si>
    <t xml:space="preserve">CDU Pump Speed/VFD</t>
  </si>
  <si>
    <t xml:space="preserve">CDU pump speed or VFD frequency</t>
  </si>
  <si>
    <t xml:space="preserve">Performance monitoring</t>
  </si>
  <si>
    <t xml:space="preserve">DC-IT-012</t>
  </si>
  <si>
    <t xml:space="preserve">CDU Reservoir Level</t>
  </si>
  <si>
    <t xml:space="preserve">Coolant reservoir level in CDU</t>
  </si>
  <si>
    <t xml:space="preserve">Low level = possible leak</t>
  </si>
  <si>
    <t xml:space="preserve">DC-IT-013</t>
  </si>
  <si>
    <t xml:space="preserve">CDU Pump Command</t>
  </si>
  <si>
    <t xml:space="preserve">CDU pump start/stop command</t>
  </si>
  <si>
    <t xml:space="preserve">Manual override capability</t>
  </si>
  <si>
    <t xml:space="preserve">DC-IT-014</t>
  </si>
  <si>
    <t xml:space="preserve">CDU Speed Setpoint</t>
  </si>
  <si>
    <t xml:space="preserve">CDU pump speed setpoint</t>
  </si>
  <si>
    <t xml:space="preserve">Control output for flow regulation</t>
  </si>
  <si>
    <t xml:space="preserve">1.5.3  Capacity Management (Calculated)</t>
  </si>
  <si>
    <t xml:space="preserve">DC-IT-C01</t>
  </si>
  <si>
    <t xml:space="preserve">Total IT kW Utilized</t>
  </si>
  <si>
    <t xml:space="preserve">Sum of all rack power readings</t>
  </si>
  <si>
    <t xml:space="preserve">Sell-through tracking</t>
  </si>
  <si>
    <t xml:space="preserve">DC-IT-C02</t>
  </si>
  <si>
    <t xml:space="preserve">IT kW Available / Headroom</t>
  </si>
  <si>
    <t xml:space="preserve">Contracted capacity minus utilized</t>
  </si>
  <si>
    <t xml:space="preserve">Sales pipeline metric</t>
  </si>
  <si>
    <t xml:space="preserve">DC-IT-C03</t>
  </si>
  <si>
    <t xml:space="preserve">Cooling Capacity Utilized</t>
  </si>
  <si>
    <t xml:space="preserve">Total thermal load vs cooling capacity (kWt)</t>
  </si>
  <si>
    <t xml:space="preserve">Alarm at 85% thermal capacity</t>
  </si>
  <si>
    <t xml:space="preserve">DC-IT-C04</t>
  </si>
  <si>
    <t xml:space="preserve">Rack Units Available</t>
  </si>
  <si>
    <t xml:space="preserve">Total free RU across all racks</t>
  </si>
  <si>
    <t xml:space="preserve">RU</t>
  </si>
  <si>
    <t xml:space="preserve">Inventory for colo sales</t>
  </si>
  <si>
    <t xml:space="preserve">DC-IT-C05</t>
  </si>
  <si>
    <t xml:space="preserve">Per-Rack kWt Thermal Load (×n)</t>
  </si>
  <si>
    <t xml:space="preserve">Calculated thermal load per rack from ΔT × flow</t>
  </si>
  <si>
    <t xml:space="preserve">kWt</t>
  </si>
  <si>
    <t xml:space="preserve">→ δt × flow × Cp; per rack</t>
  </si>
  <si>
    <t xml:space="preserve">DC-IT-C06</t>
  </si>
  <si>
    <t xml:space="preserve">CDU COP / Effectiveness</t>
  </si>
  <si>
    <t xml:space="preserve">CDU cooling effectiveness metric</t>
  </si>
  <si>
    <t xml:space="preserve">Design verification</t>
  </si>
  <si>
    <t xml:space="preserve">§2 — THERMAL &amp; HEAT RECOVERY POINT LIST</t>
  </si>
  <si>
    <t xml:space="preserve">2.1  LOOP 1 — IT SECONDARY (COMPUTE MODULE)</t>
  </si>
  <si>
    <t xml:space="preserve">2.1.1  Direct-to-Chip / Server-Side Cooling</t>
  </si>
  <si>
    <t xml:space="preserve">TH-L1-001</t>
  </si>
  <si>
    <t xml:space="preserve">Thermal</t>
  </si>
  <si>
    <t xml:space="preserve">Loop 1</t>
  </si>
  <si>
    <t xml:space="preserve">L1 Supply Temperature</t>
  </si>
  <si>
    <t xml:space="preserve">IT secondary loop coolant supply temp (from CDU to servers)</t>
  </si>
  <si>
    <t xml:space="preserve">15–40</t>
  </si>
  <si>
    <t xml:space="preserve">TEMP-L1S</t>
  </si>
  <si>
    <t xml:space="preserve">Setpoint: ~25–35°C; alarm ±5°C of SP</t>
  </si>
  <si>
    <t xml:space="preserve">TH-L1-002</t>
  </si>
  <si>
    <t xml:space="preserve">L1 Return Temperature</t>
  </si>
  <si>
    <t xml:space="preserve">IT secondary loop coolant return temp (from servers to CDU)</t>
  </si>
  <si>
    <t xml:space="preserve">25–70</t>
  </si>
  <si>
    <t xml:space="preserve">TEMP-L1R</t>
  </si>
  <si>
    <t xml:space="preserve">Higher = more heat captured</t>
  </si>
  <si>
    <t xml:space="preserve">TH-L1-003</t>
  </si>
  <si>
    <t xml:space="preserve">L1 Flow Rate</t>
  </si>
  <si>
    <t xml:space="preserve">IT secondary loop total volumetric flow</t>
  </si>
  <si>
    <t xml:space="preserve">0–300</t>
  </si>
  <si>
    <t xml:space="preserve">FLOW-L1</t>
  </si>
  <si>
    <t xml:space="preserve">Low flow alarm; zero = P0</t>
  </si>
  <si>
    <t xml:space="preserve">TH-L1-004</t>
  </si>
  <si>
    <t xml:space="preserve">L1 Differential Pressure</t>
  </si>
  <si>
    <t xml:space="preserve">ΔP across IT secondary loop manifold</t>
  </si>
  <si>
    <t xml:space="preserve">DP-L1</t>
  </si>
  <si>
    <t xml:space="preserve">High ΔP = blockage / filter load</t>
  </si>
  <si>
    <t xml:space="preserve">TH-L1-005</t>
  </si>
  <si>
    <t xml:space="preserve">L1 Pressure — Supply</t>
  </si>
  <si>
    <t xml:space="preserve">Static pressure on supply side</t>
  </si>
  <si>
    <t xml:space="preserve">P-L1S</t>
  </si>
  <si>
    <t xml:space="preserve">Leak detection; low pressure alarm</t>
  </si>
  <si>
    <t xml:space="preserve">TH-L1-006</t>
  </si>
  <si>
    <t xml:space="preserve">L1 Pressure — Return</t>
  </si>
  <si>
    <t xml:space="preserve">Static pressure on return side</t>
  </si>
  <si>
    <t xml:space="preserve">P-L1R</t>
  </si>
  <si>
    <t xml:space="preserve">TH-L1-007</t>
  </si>
  <si>
    <t xml:space="preserve">L1 Coolant Conductivity</t>
  </si>
  <si>
    <t xml:space="preserve">Electrical conductivity of IT-side coolant — purity check</t>
  </si>
  <si>
    <t xml:space="preserve">µS/cm</t>
  </si>
  <si>
    <t xml:space="preserve">COND-L1</t>
  </si>
  <si>
    <t xml:space="preserve">Clean loop; alarm above 10 µS/cm</t>
  </si>
  <si>
    <t xml:space="preserve">TH-L1-008</t>
  </si>
  <si>
    <t xml:space="preserve">L1 Reservoir Level</t>
  </si>
  <si>
    <t xml:space="preserve">Expansion / makeup reservoir level for Loop 1</t>
  </si>
  <si>
    <t xml:space="preserve">LEVEL-L1</t>
  </si>
  <si>
    <t xml:space="preserve">Low level = leak indication</t>
  </si>
  <si>
    <t xml:space="preserve">2.1.2  Loop 1 Controls &amp; Calculated</t>
  </si>
  <si>
    <t xml:space="preserve">TH-L1-009</t>
  </si>
  <si>
    <t xml:space="preserve">L1 Pump Status (×n)</t>
  </si>
  <si>
    <t xml:space="preserve">IT-side circulation pump run/stop/fault</t>
  </si>
  <si>
    <t xml:space="preserve">PUMP-L1-nn</t>
  </si>
  <si>
    <t xml:space="preserve">N+1 redundant; P0 on all-fault</t>
  </si>
  <si>
    <t xml:space="preserve">TH-L1-010</t>
  </si>
  <si>
    <t xml:space="preserve">L1 Pump Speed Command</t>
  </si>
  <si>
    <t xml:space="preserve">VFD speed setpoint for L1 pump</t>
  </si>
  <si>
    <t xml:space="preserve">VFD-L1</t>
  </si>
  <si>
    <t xml:space="preserve">Flow regulation control output</t>
  </si>
  <si>
    <t xml:space="preserve">TH-L1-011</t>
  </si>
  <si>
    <t xml:space="preserve">L1 Pump Speed Feedback</t>
  </si>
  <si>
    <t xml:space="preserve">Actual VFD speed feedback</t>
  </si>
  <si>
    <t xml:space="preserve">Command vs feedback comparison</t>
  </si>
  <si>
    <t xml:space="preserve">TH-L1-012</t>
  </si>
  <si>
    <t xml:space="preserve">L1 Pump Motor Current</t>
  </si>
  <si>
    <t xml:space="preserve">Pump motor current draw — health indicator</t>
  </si>
  <si>
    <t xml:space="preserve">Trending for bearing/impeller wear</t>
  </si>
  <si>
    <t xml:space="preserve">TH-L1-013</t>
  </si>
  <si>
    <t xml:space="preserve">L1 Isolation Valve — Supply</t>
  </si>
  <si>
    <t xml:space="preserve">Motorized isolation valve on L1 supply</t>
  </si>
  <si>
    <t xml:space="preserve">MOV-L1S</t>
  </si>
  <si>
    <t xml:space="preserve">P0 if closed unexpectedly</t>
  </si>
  <si>
    <t xml:space="preserve">TH-L1-014</t>
  </si>
  <si>
    <t xml:space="preserve">L1 Isolation Valve Cmd — Supply</t>
  </si>
  <si>
    <t xml:space="preserve">Command to open/close L1 supply isolation valve</t>
  </si>
  <si>
    <t xml:space="preserve">Emergency isolation capability</t>
  </si>
  <si>
    <t xml:space="preserve">TH-L1-C01</t>
  </si>
  <si>
    <t xml:space="preserve">Loop 1 Calc</t>
  </si>
  <si>
    <t xml:space="preserve">L1 ΔT (Return - Supply)</t>
  </si>
  <si>
    <t xml:space="preserve">Temperature difference across Loop 1</t>
  </si>
  <si>
    <t xml:space="preserve">0–40</t>
  </si>
  <si>
    <t xml:space="preserve">→ th-L1-2 − TH-L1-001</t>
  </si>
  <si>
    <t xml:space="preserve">TH-L1-C02</t>
  </si>
  <si>
    <t xml:space="preserve">L1 Thermal Power (kWt)</t>
  </si>
  <si>
    <t xml:space="preserve">Heat captured by Loop 1: ΔT × flow × Cp</t>
  </si>
  <si>
    <t xml:space="preserve">Primary performance KPI</t>
  </si>
  <si>
    <t xml:space="preserve">TH-L1-C03</t>
  </si>
  <si>
    <t xml:space="preserve">L1 Heat Capture Ratio</t>
  </si>
  <si>
    <t xml:space="preserve">L1 kWt / IT kW electrical — cooling effectiveness</t>
  </si>
  <si>
    <t xml:space="preserve">Should be 0.85–0.95 for liquid-cooled</t>
  </si>
  <si>
    <t xml:space="preserve">TH-L1-C04</t>
  </si>
  <si>
    <t xml:space="preserve">L1 Pump Power Consumption</t>
  </si>
  <si>
    <t xml:space="preserve">Power drawn by L1 circulation pumps</t>
  </si>
  <si>
    <t xml:space="preserve">Parasitic load tracking</t>
  </si>
  <si>
    <t xml:space="preserve">2.2  LOOP 2 — MICROLINK PRIMARY WARM-WATER LOOP</t>
  </si>
  <si>
    <t xml:space="preserve">2.2.1  Primary Loop Temperatures &amp; Flow</t>
  </si>
  <si>
    <t xml:space="preserve">TH-L2-001</t>
  </si>
  <si>
    <t xml:space="preserve">Loop 2</t>
  </si>
  <si>
    <t xml:space="preserve">L2 Supply Temperature</t>
  </si>
  <si>
    <t xml:space="preserve">Primary warm-water loop supply temp (from CDU secondary to HX/reject)</t>
  </si>
  <si>
    <t xml:space="preserve">TEMP-L2S</t>
  </si>
  <si>
    <t xml:space="preserve">Key operating parameter</t>
  </si>
  <si>
    <t xml:space="preserve">TH-L2-002</t>
  </si>
  <si>
    <t xml:space="preserve">L2 Return Temperature</t>
  </si>
  <si>
    <t xml:space="preserve">Primary loop return temp (from HX/reject back to CDU secondary)</t>
  </si>
  <si>
    <t xml:space="preserve">15–50</t>
  </si>
  <si>
    <t xml:space="preserve">TEMP-L2R</t>
  </si>
  <si>
    <t xml:space="preserve">Determines export ΔT available</t>
  </si>
  <si>
    <t xml:space="preserve">TH-L2-003</t>
  </si>
  <si>
    <t xml:space="preserve">L2 Flow Rate</t>
  </si>
  <si>
    <t xml:space="preserve">Primary loop volumetric flow — electromagnetic meter</t>
  </si>
  <si>
    <t xml:space="preserve">FLOW-L2</t>
  </si>
  <si>
    <t xml:space="preserve">Billing-grade accuracy required</t>
  </si>
  <si>
    <t xml:space="preserve">TH-L2-004</t>
  </si>
  <si>
    <t xml:space="preserve">L2 Differential Pressure</t>
  </si>
  <si>
    <t xml:space="preserve">ΔP across primary loop circuit</t>
  </si>
  <si>
    <t xml:space="preserve">DP-L2</t>
  </si>
  <si>
    <t xml:space="preserve">Pump performance verification</t>
  </si>
  <si>
    <t xml:space="preserve">TH-L2-005</t>
  </si>
  <si>
    <t xml:space="preserve">L2 Static Pressure — Supply</t>
  </si>
  <si>
    <t xml:space="preserve">Static pressure on L2 supply header</t>
  </si>
  <si>
    <t xml:space="preserve">P-L2S</t>
  </si>
  <si>
    <t xml:space="preserve">Leak detection / integrity</t>
  </si>
  <si>
    <t xml:space="preserve">TH-L2-006</t>
  </si>
  <si>
    <t xml:space="preserve">L2 Static Pressure — Return</t>
  </si>
  <si>
    <t xml:space="preserve">Static pressure on L2 return header</t>
  </si>
  <si>
    <t xml:space="preserve">P-L2R</t>
  </si>
  <si>
    <t xml:space="preserve">2.2.2  Primary Pump Station</t>
  </si>
  <si>
    <t xml:space="preserve">TH-L2-007</t>
  </si>
  <si>
    <t xml:space="preserve">L2 Pump-A Status</t>
  </si>
  <si>
    <t xml:space="preserve">Primary pump A — run/stop/fault</t>
  </si>
  <si>
    <t xml:space="preserve">PUMP-L2A</t>
  </si>
  <si>
    <t xml:space="preserve">N+1 duty/standby arrangement</t>
  </si>
  <si>
    <t xml:space="preserve">TH-L2-008</t>
  </si>
  <si>
    <t xml:space="preserve">L2 Pump-B Status</t>
  </si>
  <si>
    <t xml:space="preserve">Primary pump B — run/stop/fault (standby)</t>
  </si>
  <si>
    <t xml:space="preserve">PUMP-L2B</t>
  </si>
  <si>
    <t xml:space="preserve">Auto-changeover on duty fault</t>
  </si>
  <si>
    <t xml:space="preserve">TH-L2-009</t>
  </si>
  <si>
    <t xml:space="preserve">L2 Pump Speed Command</t>
  </si>
  <si>
    <t xml:space="preserve">VFD speed setpoint for duty pump</t>
  </si>
  <si>
    <t xml:space="preserve">VFD-L2</t>
  </si>
  <si>
    <t xml:space="preserve">ΔP or flow control</t>
  </si>
  <si>
    <t xml:space="preserve">TH-L2-010</t>
  </si>
  <si>
    <t xml:space="preserve">L2 Pump Speed Feedback</t>
  </si>
  <si>
    <t xml:space="preserve">VFD actual speed feedback</t>
  </si>
  <si>
    <t xml:space="preserve">TH-L2-011</t>
  </si>
  <si>
    <t xml:space="preserve">L2 Pump Motor Current (×2)</t>
  </si>
  <si>
    <t xml:space="preserve">Motor current for each pump — health trending</t>
  </si>
  <si>
    <t xml:space="preserve">VFD-L2A/B</t>
  </si>
  <si>
    <t xml:space="preserve">Bearing wear / impeller degradation</t>
  </si>
  <si>
    <t xml:space="preserve">TH-L2-012</t>
  </si>
  <si>
    <t xml:space="preserve">L2 Pump Vibration (×2)</t>
  </si>
  <si>
    <t xml:space="preserve">Vibration sensor on each pump — predictive maintenance</t>
  </si>
  <si>
    <t xml:space="preserve">mm/s</t>
  </si>
  <si>
    <t xml:space="preserve">VIB-L2A/B</t>
  </si>
  <si>
    <t xml:space="preserve">Alarm above ISO 10816 limits</t>
  </si>
  <si>
    <t xml:space="preserve">TH-L2-013</t>
  </si>
  <si>
    <t xml:space="preserve">L2 Pump Runtime Hours (×2)</t>
  </si>
  <si>
    <t xml:space="preserve">Cumulative runtime for maintenance scheduling</t>
  </si>
  <si>
    <t xml:space="preserve">0–99999</t>
  </si>
  <si>
    <t xml:space="preserve">hrs</t>
  </si>
  <si>
    <t xml:space="preserve">3600s</t>
  </si>
  <si>
    <t xml:space="preserve">Alarm at service interval</t>
  </si>
  <si>
    <t xml:space="preserve">TH-L2-014</t>
  </si>
  <si>
    <t xml:space="preserve">L2 Pump Start/Stop Cmd (×2)</t>
  </si>
  <si>
    <t xml:space="preserve">Start/stop command per pump</t>
  </si>
  <si>
    <t xml:space="preserve">Manual override / auto changeover</t>
  </si>
  <si>
    <t xml:space="preserve">2.2.3  Water Chemistry &amp; System Health</t>
  </si>
  <si>
    <t xml:space="preserve">TH-L2-015</t>
  </si>
  <si>
    <t xml:space="preserve">L2 Glycol Concentration</t>
  </si>
  <si>
    <t xml:space="preserve">Propylene glycol concentration in primary loop</t>
  </si>
  <si>
    <t xml:space="preserve">GLYCOL-L2</t>
  </si>
  <si>
    <t xml:space="preserve">Design spec: 30–40%; alarm outside range</t>
  </si>
  <si>
    <t xml:space="preserve">TH-L2-016</t>
  </si>
  <si>
    <t xml:space="preserve">L2 pH Level</t>
  </si>
  <si>
    <t xml:space="preserve">Primary loop water pH</t>
  </si>
  <si>
    <t xml:space="preserve">0–14</t>
  </si>
  <si>
    <t xml:space="preserve">pH</t>
  </si>
  <si>
    <t xml:space="preserve">PH-L2</t>
  </si>
  <si>
    <t xml:space="preserve">Target 7.5–9.0; alarm outside range</t>
  </si>
  <si>
    <t xml:space="preserve">TH-L2-017</t>
  </si>
  <si>
    <t xml:space="preserve">L2 Conductivity</t>
  </si>
  <si>
    <t xml:space="preserve">Primary loop water conductivity — contamination indicator</t>
  </si>
  <si>
    <t xml:space="preserve">0–5000</t>
  </si>
  <si>
    <t xml:space="preserve">COND-L2</t>
  </si>
  <si>
    <t xml:space="preserve">Different spec from clean L1 loop</t>
  </si>
  <si>
    <t xml:space="preserve">TH-L2-018</t>
  </si>
  <si>
    <t xml:space="preserve">L2 Expansion Vessel Pressure</t>
  </si>
  <si>
    <t xml:space="preserve">Pressurization system vessel air charge pressure</t>
  </si>
  <si>
    <t xml:space="preserve">EXP-L2</t>
  </si>
  <si>
    <t xml:space="preserve">System integrity indicator</t>
  </si>
  <si>
    <t xml:space="preserve">TH-L2-019</t>
  </si>
  <si>
    <t xml:space="preserve">L2 Auto-Fill Valve Status</t>
  </si>
  <si>
    <t xml:space="preserve">Make-up water auto-fill valve — open/closed</t>
  </si>
  <si>
    <t xml:space="preserve">FILL-L2</t>
  </si>
  <si>
    <t xml:space="preserve">Frequent fills = possible leak</t>
  </si>
  <si>
    <t xml:space="preserve">TH-L2-020</t>
  </si>
  <si>
    <t xml:space="preserve">L2 Auto-Fill Accumulated</t>
  </si>
  <si>
    <t xml:space="preserve">Cumulative make-up water added</t>
  </si>
  <si>
    <t xml:space="preserve">0–9999</t>
  </si>
  <si>
    <t xml:space="preserve">L</t>
  </si>
  <si>
    <t xml:space="preserve">FLOW-FILL</t>
  </si>
  <si>
    <t xml:space="preserve">Trending for slow leak detection</t>
  </si>
  <si>
    <t xml:space="preserve">TH-L2-021</t>
  </si>
  <si>
    <t xml:space="preserve">L2 Air/Dirt Separator Status</t>
  </si>
  <si>
    <t xml:space="preserve">Air separator operational status</t>
  </si>
  <si>
    <t xml:space="preserve">AIRDIRT-L2</t>
  </si>
  <si>
    <t xml:space="preserve">Maintenance indicator</t>
  </si>
  <si>
    <t xml:space="preserve">2.2.4  Loop 2 Calculated Points</t>
  </si>
  <si>
    <t xml:space="preserve">TH-L2-C01</t>
  </si>
  <si>
    <t xml:space="preserve">Loop 2 Calc</t>
  </si>
  <si>
    <t xml:space="preserve">L2 ΔT (Supply - Return)</t>
  </si>
  <si>
    <t xml:space="preserve">Primary loop temperature difference</t>
  </si>
  <si>
    <t xml:space="preserve">→ th-L2-1 − TH-L2-002</t>
  </si>
  <si>
    <t xml:space="preserve">TH-L2-C02</t>
  </si>
  <si>
    <t xml:space="preserve">L2 Thermal Power (kWt)</t>
  </si>
  <si>
    <t xml:space="preserve">Heat transported by primary loop</t>
  </si>
  <si>
    <t xml:space="preserve">Primary performance metric</t>
  </si>
  <si>
    <t xml:space="preserve">TH-L2-C03</t>
  </si>
  <si>
    <t xml:space="preserve">L2 Pump Power (Total)</t>
  </si>
  <si>
    <t xml:space="preserve">Total electrical power consumed by L2 pumps</t>
  </si>
  <si>
    <t xml:space="preserve">Parasitic load</t>
  </si>
  <si>
    <t xml:space="preserve">TH-L2-C04</t>
  </si>
  <si>
    <t xml:space="preserve">L2 Transport COP</t>
  </si>
  <si>
    <t xml:space="preserve">kWt transported / kW pump power consumed</t>
  </si>
  <si>
    <t xml:space="preserve">→ C2/C3; efficiency of thermal transport</t>
  </si>
  <si>
    <t xml:space="preserve">TH-L2-C05</t>
  </si>
  <si>
    <t xml:space="preserve">L2 Leak Rate Estimate</t>
  </si>
  <si>
    <t xml:space="preserve">Estimated leak rate from fill accumulation trend</t>
  </si>
  <si>
    <t xml:space="preserve">L/day</t>
  </si>
  <si>
    <t xml:space="preserve">Alarm above 5 L/day</t>
  </si>
  <si>
    <t xml:space="preserve">TH-L2-C06</t>
  </si>
  <si>
    <t xml:space="preserve">L2 System Pressure Trend</t>
  </si>
  <si>
    <t xml:space="preserve">Pressure rate of change — integrity monitoring</t>
  </si>
  <si>
    <t xml:space="preserve">-50–50</t>
  </si>
  <si>
    <t xml:space="preserve">kPa/h</t>
  </si>
  <si>
    <t xml:space="preserve">Rapid drop = breach</t>
  </si>
  <si>
    <t xml:space="preserve">2.3  HEAT EXPORT — PLATE HEAT EXCHANGER INTERFACE</t>
  </si>
  <si>
    <t xml:space="preserve">2.3.1  HX Performance Monitoring</t>
  </si>
  <si>
    <t xml:space="preserve">TH-HX-001</t>
  </si>
  <si>
    <t xml:space="preserve">Heat Export</t>
  </si>
  <si>
    <t xml:space="preserve">HX Primary Inlet Temp</t>
  </si>
  <si>
    <t xml:space="preserve">Hot side inlet temp — from L2 supply</t>
  </si>
  <si>
    <t xml:space="preserve">30–65</t>
  </si>
  <si>
    <t xml:space="preserve">TEMP-HX-PI</t>
  </si>
  <si>
    <t xml:space="preserve">MicroLink side — our fluid</t>
  </si>
  <si>
    <t xml:space="preserve">TH-HX-002</t>
  </si>
  <si>
    <t xml:space="preserve">HX Primary Outlet Temp</t>
  </si>
  <si>
    <t xml:space="preserve">Hot side outlet temp — returned to L2</t>
  </si>
  <si>
    <t xml:space="preserve">TEMP-HX-PO</t>
  </si>
  <si>
    <t xml:space="preserve">Should approach host return temp</t>
  </si>
  <si>
    <t xml:space="preserve">TH-HX-003</t>
  </si>
  <si>
    <t xml:space="preserve">HX Secondary Inlet Temp</t>
  </si>
  <si>
    <t xml:space="preserve">Cold side inlet temp — host return water</t>
  </si>
  <si>
    <t xml:space="preserve">10–45</t>
  </si>
  <si>
    <t xml:space="preserve">TEMP-HX-SI</t>
  </si>
  <si>
    <t xml:space="preserve">Host return conditions monitoring</t>
  </si>
  <si>
    <t xml:space="preserve">TH-HX-004</t>
  </si>
  <si>
    <t xml:space="preserve">HX Secondary Outlet Temp</t>
  </si>
  <si>
    <t xml:space="preserve">Cold side outlet temp — heated host water</t>
  </si>
  <si>
    <t xml:space="preserve">20–60</t>
  </si>
  <si>
    <t xml:space="preserve">TEMP-HX-SO</t>
  </si>
  <si>
    <t xml:space="preserve">Host delivery temp verification</t>
  </si>
  <si>
    <t xml:space="preserve">TH-HX-005</t>
  </si>
  <si>
    <t xml:space="preserve">HX Primary Flow Rate</t>
  </si>
  <si>
    <t xml:space="preserve">Flow through primary (MicroLink) side of HX</t>
  </si>
  <si>
    <t xml:space="preserve">FLOW-HX-P</t>
  </si>
  <si>
    <t xml:space="preserve">Billing-grade metering</t>
  </si>
  <si>
    <t xml:space="preserve">TH-HX-006</t>
  </si>
  <si>
    <t xml:space="preserve">HX Secondary Flow Rate</t>
  </si>
  <si>
    <t xml:space="preserve">Flow through secondary (host) side of HX</t>
  </si>
  <si>
    <t xml:space="preserve">FLOW-HX-S</t>
  </si>
  <si>
    <t xml:space="preserve">Host-side reference</t>
  </si>
  <si>
    <t xml:space="preserve">TH-HX-007</t>
  </si>
  <si>
    <t xml:space="preserve">HX Primary ΔP</t>
  </si>
  <si>
    <t xml:space="preserve">Pressure drop across HX primary side</t>
  </si>
  <si>
    <t xml:space="preserve">DP-HX-P</t>
  </si>
  <si>
    <t xml:space="preserve">Fouling indicator — trend over time</t>
  </si>
  <si>
    <t xml:space="preserve">TH-HX-008</t>
  </si>
  <si>
    <t xml:space="preserve">HX Secondary ΔP</t>
  </si>
  <si>
    <t xml:space="preserve">Pressure drop across HX secondary side</t>
  </si>
  <si>
    <t xml:space="preserve">DP-HX-S</t>
  </si>
  <si>
    <t xml:space="preserve">Host-side fouling indicator</t>
  </si>
  <si>
    <t xml:space="preserve">2.3.2  Isolation &amp; Protection Valves</t>
  </si>
  <si>
    <t xml:space="preserve">TH-HX-009</t>
  </si>
  <si>
    <t xml:space="preserve">HX ML-Side Isolation Valve</t>
  </si>
  <si>
    <t xml:space="preserve">MicroLink isolation valve — position feedback</t>
  </si>
  <si>
    <t xml:space="preserve">MOV-HX-ML</t>
  </si>
  <si>
    <t xml:space="preserve">Hydraulic isolation of ML loop from HX</t>
  </si>
  <si>
    <t xml:space="preserve">TH-HX-010</t>
  </si>
  <si>
    <t xml:space="preserve">HX ML-Side Valve Command</t>
  </si>
  <si>
    <t xml:space="preserve">Command to open/close ML isolation valve</t>
  </si>
  <si>
    <t xml:space="preserve">Mode transition actuator</t>
  </si>
  <si>
    <t xml:space="preserve">TH-HX-011</t>
  </si>
  <si>
    <t xml:space="preserve">HX Host-Side Isolation Valve</t>
  </si>
  <si>
    <t xml:space="preserve">Host-side isolation valve — position feedback</t>
  </si>
  <si>
    <t xml:space="preserve">MOV-HX-HOST</t>
  </si>
  <si>
    <t xml:space="preserve">Host boundary control</t>
  </si>
  <si>
    <t xml:space="preserve">TH-HX-012</t>
  </si>
  <si>
    <t xml:space="preserve">HX Host-Side Valve Command</t>
  </si>
  <si>
    <t xml:space="preserve">Command to open/close host isolation valve</t>
  </si>
  <si>
    <t xml:space="preserve">Coordinated with host demand signal</t>
  </si>
  <si>
    <t xml:space="preserve">TH-HX-013</t>
  </si>
  <si>
    <t xml:space="preserve">HX Bypass 3-Way Valve Position</t>
  </si>
  <si>
    <t xml:space="preserve">3-way diverting valve position — export vs reject path</t>
  </si>
  <si>
    <t xml:space="preserve">MOV-HX-3W</t>
  </si>
  <si>
    <t xml:space="preserve">0%=full reject; 100%=full export</t>
  </si>
  <si>
    <t xml:space="preserve">TH-HX-014</t>
  </si>
  <si>
    <t xml:space="preserve">HX Bypass Valve Command</t>
  </si>
  <si>
    <t xml:space="preserve">3-way valve position setpoint</t>
  </si>
  <si>
    <t xml:space="preserve">Mode state engine control output</t>
  </si>
  <si>
    <t xml:space="preserve">TH-HX-015</t>
  </si>
  <si>
    <t xml:space="preserve">Backflow Prevention Status</t>
  </si>
  <si>
    <t xml:space="preserve">Check valve / backflow preventer health</t>
  </si>
  <si>
    <t xml:space="preserve">BFP-HX</t>
  </si>
  <si>
    <t xml:space="preserve">Cross-contamination protection</t>
  </si>
  <si>
    <t xml:space="preserve">2.3.3  Heat Export Calculated / Billing</t>
  </si>
  <si>
    <t xml:space="preserve">TH-HX-C01</t>
  </si>
  <si>
    <t xml:space="preserve">HX Calc</t>
  </si>
  <si>
    <t xml:space="preserve">Exported Thermal Power (kWt)</t>
  </si>
  <si>
    <t xml:space="preserve">Real-time heat export rate to host</t>
  </si>
  <si>
    <t xml:space="preserve">→ δt × flow × Cp (primary side)</t>
  </si>
  <si>
    <t xml:space="preserve">TH-HX-C02</t>
  </si>
  <si>
    <t xml:space="preserve">Cumulative Exported Energy (MWht)</t>
  </si>
  <si>
    <t xml:space="preserve">Total thermal energy exported — billing accumulator</t>
  </si>
  <si>
    <t xml:space="preserve">MWht</t>
  </si>
  <si>
    <t xml:space="preserve">Revenue metering — latch on rollover</t>
  </si>
  <si>
    <t xml:space="preserve">TH-HX-C03</t>
  </si>
  <si>
    <t xml:space="preserve">HX Approach Temperature</t>
  </si>
  <si>
    <t xml:space="preserve">Minimum ΔT approach in HX — fouling indicator</t>
  </si>
  <si>
    <t xml:space="preserve">0–15</t>
  </si>
  <si>
    <t xml:space="preserve">→ hx-2 − HX-003; alarm if increasing</t>
  </si>
  <si>
    <t xml:space="preserve">TH-HX-C04</t>
  </si>
  <si>
    <t xml:space="preserve">HX Fouling Factor Estimate</t>
  </si>
  <si>
    <t xml:space="preserve">Estimated fouling factor from UA degradation</t>
  </si>
  <si>
    <t xml:space="preserve">CIP/maintenance trigger</t>
  </si>
  <si>
    <t xml:space="preserve">TH-HX-C05</t>
  </si>
  <si>
    <t xml:space="preserve">Export Revenue (Estimated)</t>
  </si>
  <si>
    <t xml:space="preserve">Estimated revenue from thermal export at contracted $/MWht</t>
  </si>
  <si>
    <t xml:space="preserve">$/day</t>
  </si>
  <si>
    <t xml:space="preserve">Dashboard metric; not billing-grade</t>
  </si>
  <si>
    <t xml:space="preserve">TH-HX-C06</t>
  </si>
  <si>
    <t xml:space="preserve">Host Delivery Compliance %</t>
  </si>
  <si>
    <t xml:space="preserve">% of time host receives heat within contracted temp range</t>
  </si>
  <si>
    <t xml:space="preserve">SLA compliance metric</t>
  </si>
  <si>
    <t xml:space="preserve">2.4  LOOP 3 — HOST PROCESS / HOT-WATER (READ-ONLY INTERFACE)</t>
  </si>
  <si>
    <t xml:space="preserve">TH-L3-001</t>
  </si>
  <si>
    <t xml:space="preserve">Loop 3</t>
  </si>
  <si>
    <t xml:space="preserve">Host Demand Signal</t>
  </si>
  <si>
    <t xml:space="preserve">Host heat demand — active/inactive (binary)</t>
  </si>
  <si>
    <t xml:space="preserve">HOST-BMS</t>
  </si>
  <si>
    <t xml:space="preserve">Primary mode trigger input</t>
  </si>
  <si>
    <t xml:space="preserve">TH-L3-002</t>
  </si>
  <si>
    <t xml:space="preserve">Host Temperature Setpoint Request</t>
  </si>
  <si>
    <t xml:space="preserve">Host requested supply temperature setpoint</t>
  </si>
  <si>
    <t xml:space="preserve">30–70</t>
  </si>
  <si>
    <t xml:space="preserve">Guidance only — ML controls HX independently</t>
  </si>
  <si>
    <t xml:space="preserve">TH-L3-003</t>
  </si>
  <si>
    <t xml:space="preserve">Host Flow Status</t>
  </si>
  <si>
    <t xml:space="preserve">Host-side circulation active/inactive</t>
  </si>
  <si>
    <t xml:space="preserve">No host flow = cannot export</t>
  </si>
  <si>
    <t xml:space="preserve">TH-L3-004</t>
  </si>
  <si>
    <t xml:space="preserve">Host Return Temp (at boundary)</t>
  </si>
  <si>
    <t xml:space="preserve">Host return water temperature measured at ML boundary</t>
  </si>
  <si>
    <t xml:space="preserve">TEMP-L3R</t>
  </si>
  <si>
    <t xml:space="preserve">ML-owned sensor at interface point</t>
  </si>
  <si>
    <t xml:space="preserve">TH-L3-005</t>
  </si>
  <si>
    <t xml:space="preserve">Host Return Pressure</t>
  </si>
  <si>
    <t xml:space="preserve">Host return water pressure at boundary</t>
  </si>
  <si>
    <t xml:space="preserve">P-L3R</t>
  </si>
  <si>
    <t xml:space="preserve">Overpressure / underpressure protection</t>
  </si>
  <si>
    <t xml:space="preserve">TH-L3-006</t>
  </si>
  <si>
    <t xml:space="preserve">Host Contamination Conductivity</t>
  </si>
  <si>
    <t xml:space="preserve">Conductivity sensor at boundary — cross-contamination check</t>
  </si>
  <si>
    <t xml:space="preserve">COND-L3</t>
  </si>
  <si>
    <t xml:space="preserve">P0 = isolate HX immediately</t>
  </si>
  <si>
    <t xml:space="preserve">TH-L3-007</t>
  </si>
  <si>
    <t xml:space="preserve">Host Seasonal Schedule</t>
  </si>
  <si>
    <t xml:space="preserve">Host facility heating season active/inactive</t>
  </si>
  <si>
    <t xml:space="preserve">HOST-API</t>
  </si>
  <si>
    <t xml:space="preserve">Capacity planning input</t>
  </si>
  <si>
    <t xml:space="preserve">TH-L3-008</t>
  </si>
  <si>
    <t xml:space="preserve">Host Maintenance Window</t>
  </si>
  <si>
    <t xml:space="preserve">Host plant maintenance window — no export available</t>
  </si>
  <si>
    <t xml:space="preserve">Pre-schedule reject mode transition</t>
  </si>
  <si>
    <t xml:space="preserve">TH-L3-009</t>
  </si>
  <si>
    <t xml:space="preserve">Host Interface Panel Status</t>
  </si>
  <si>
    <t xml:space="preserve">ML-owned host interface panel — online/fault</t>
  </si>
  <si>
    <t xml:space="preserve">HIP-01</t>
  </si>
  <si>
    <t xml:space="preserve">Communications health to host BMS</t>
  </si>
  <si>
    <t xml:space="preserve">TH-L3-C01</t>
  </si>
  <si>
    <t xml:space="preserve">Loop 3 Calc</t>
  </si>
  <si>
    <t xml:space="preserve">Host Heat Utilization %</t>
  </si>
  <si>
    <t xml:space="preserve">% of available export heat that host actually consumes</t>
  </si>
  <si>
    <t xml:space="preserve">Business model effectiveness metric</t>
  </si>
  <si>
    <t xml:space="preserve">TH-L3-C02</t>
  </si>
  <si>
    <t xml:space="preserve">Host Savings Estimate ($/day)</t>
  </si>
  <si>
    <t xml:space="preserve">Estimated host energy cost savings from ML heat</t>
  </si>
  <si>
    <t xml:space="preserve">Host value proposition metric</t>
  </si>
  <si>
    <t xml:space="preserve">TH-L3-C03</t>
  </si>
  <si>
    <t xml:space="preserve">Host Availability Score</t>
  </si>
  <si>
    <t xml:space="preserve">% of time host can receive heat (demand + operational)</t>
  </si>
  <si>
    <t xml:space="preserve">Site selection validation KPI</t>
  </si>
  <si>
    <t xml:space="preserve">2.5  HEAT REJECTION SYSTEM (100% FALLBACK)</t>
  </si>
  <si>
    <t xml:space="preserve">2.5.1  Dry / Adiabatic Cooler</t>
  </si>
  <si>
    <t xml:space="preserve">TH-REJ-001</t>
  </si>
  <si>
    <t xml:space="preserve">Rejection</t>
  </si>
  <si>
    <t xml:space="preserve">Cooler Fan Status (×n)</t>
  </si>
  <si>
    <t xml:space="preserve">Individual fan run/stop/fault per cooler unit</t>
  </si>
  <si>
    <t xml:space="preserve">FAN-REJ-nn</t>
  </si>
  <si>
    <t xml:space="preserve">n fans; P0 if all-fault</t>
  </si>
  <si>
    <t xml:space="preserve">TH-REJ-002</t>
  </si>
  <si>
    <t xml:space="preserve">Cooler Fan Speed (×n)</t>
  </si>
  <si>
    <t xml:space="preserve">VFD fan speed per unit — staging control feedback</t>
  </si>
  <si>
    <t xml:space="preserve">VFD-REJ-nn</t>
  </si>
  <si>
    <t xml:space="preserve">Speed staging for noise/efficiency</t>
  </si>
  <si>
    <t xml:space="preserve">TH-REJ-003</t>
  </si>
  <si>
    <t xml:space="preserve">Cooler Inlet Fluid Temp</t>
  </si>
  <si>
    <t xml:space="preserve">Warm fluid inlet to dry cooler from L2</t>
  </si>
  <si>
    <t xml:space="preserve">TEMP-REJ-I</t>
  </si>
  <si>
    <t xml:space="preserve">Should match L2 supply temp</t>
  </si>
  <si>
    <t xml:space="preserve">TH-REJ-004</t>
  </si>
  <si>
    <t xml:space="preserve">Cooler Outlet Fluid Temp</t>
  </si>
  <si>
    <t xml:space="preserve">Cooled fluid outlet from dry cooler</t>
  </si>
  <si>
    <t xml:space="preserve">TEMP-REJ-O</t>
  </si>
  <si>
    <t xml:space="preserve">Must be below IT setpoint requirement</t>
  </si>
  <si>
    <t xml:space="preserve">TH-REJ-005</t>
  </si>
  <si>
    <t xml:space="preserve">Ambient Air Temperature</t>
  </si>
  <si>
    <t xml:space="preserve">Outside ambient temp at cooler intake — design day reference</t>
  </si>
  <si>
    <t xml:space="preserve">-20–50</t>
  </si>
  <si>
    <t xml:space="preserve">TEMP-AMB</t>
  </si>
  <si>
    <t xml:space="preserve">Performance derating reference</t>
  </si>
  <si>
    <t xml:space="preserve">TH-REJ-006</t>
  </si>
  <si>
    <t xml:space="preserve">Ambient Relative Humidity</t>
  </si>
  <si>
    <t xml:space="preserve">Outside ambient RH — adiabatic benefit calculation</t>
  </si>
  <si>
    <t xml:space="preserve">RH-AMB</t>
  </si>
  <si>
    <t xml:space="preserve">Adiabatic mode optimization</t>
  </si>
  <si>
    <t xml:space="preserve">TH-REJ-007</t>
  </si>
  <si>
    <t xml:space="preserve">Cooler Fluid Flow Rate</t>
  </si>
  <si>
    <t xml:space="preserve">Flow through rejection circuit</t>
  </si>
  <si>
    <t xml:space="preserve">FLOW-REJ</t>
  </si>
  <si>
    <t xml:space="preserve">Capacity verification</t>
  </si>
  <si>
    <t xml:space="preserve">2.5.2  Adiabatic Controls (If Equipped)</t>
  </si>
  <si>
    <t xml:space="preserve">TH-REJ-008</t>
  </si>
  <si>
    <t xml:space="preserve">Adiabatic Spray Status</t>
  </si>
  <si>
    <t xml:space="preserve">Pre-cooling spray system — on/off</t>
  </si>
  <si>
    <t xml:space="preserve">SPRAY-01</t>
  </si>
  <si>
    <t xml:space="preserve">Activated when ambient exceeds dry threshold</t>
  </si>
  <si>
    <t xml:space="preserve">TH-REJ-009</t>
  </si>
  <si>
    <t xml:space="preserve">Adiabatic Water Consumption</t>
  </si>
  <si>
    <t xml:space="preserve">Spray water flow rate / consumption</t>
  </si>
  <si>
    <t xml:space="preserve">L/h</t>
  </si>
  <si>
    <t xml:space="preserve">FLOW-SPRAY</t>
  </si>
  <si>
    <t xml:space="preserve">Water cost and consumption tracking</t>
  </si>
  <si>
    <t xml:space="preserve">TH-REJ-010</t>
  </si>
  <si>
    <t xml:space="preserve">Adiabatic Spray Command</t>
  </si>
  <si>
    <t xml:space="preserve">Command to enable/disable adiabatic spray</t>
  </si>
  <si>
    <t xml:space="preserve">Auto or manual control</t>
  </si>
  <si>
    <t xml:space="preserve">TH-REJ-011</t>
  </si>
  <si>
    <t xml:space="preserve">Hygiene Cycle Active</t>
  </si>
  <si>
    <t xml:space="preserve">Anti-legionella hygiene cycle status</t>
  </si>
  <si>
    <t xml:space="preserve">Health &amp; safety compliance</t>
  </si>
  <si>
    <t xml:space="preserve">2.5.3  Rejection Fan Commands &amp; Staging</t>
  </si>
  <si>
    <t xml:space="preserve">TH-REJ-012</t>
  </si>
  <si>
    <t xml:space="preserve">Fan Speed Command (×n)</t>
  </si>
  <si>
    <t xml:space="preserve">VFD speed setpoint per cooler fan unit</t>
  </si>
  <si>
    <t xml:space="preserve">Staging logic for noise/efficiency</t>
  </si>
  <si>
    <t xml:space="preserve">TH-REJ-013</t>
  </si>
  <si>
    <t xml:space="preserve">Fan Stage Enable (×n)</t>
  </si>
  <si>
    <t xml:space="preserve">Enable/disable individual cooler fan unit</t>
  </si>
  <si>
    <t xml:space="preserve">Maintenance isolation</t>
  </si>
  <si>
    <t xml:space="preserve">2.5.4  Rejection Calculated Points</t>
  </si>
  <si>
    <t xml:space="preserve">TH-REJ-C01</t>
  </si>
  <si>
    <t xml:space="preserve">Rejection Calc</t>
  </si>
  <si>
    <t xml:space="preserve">Rejected Thermal Power (kWt)</t>
  </si>
  <si>
    <t xml:space="preserve">Heat rejected to atmosphere via dry/adiabatic cooler</t>
  </si>
  <si>
    <t xml:space="preserve">→ δt × flow × Cp</t>
  </si>
  <si>
    <t xml:space="preserve">TH-REJ-C02</t>
  </si>
  <si>
    <t xml:space="preserve">Rejection Capacity Available %</t>
  </si>
  <si>
    <t xml:space="preserve">Current reject capacity vs design maximum</t>
  </si>
  <si>
    <t xml:space="preserve">P0 if &lt;100% at design day ambient</t>
  </si>
  <si>
    <t xml:space="preserve">TH-REJ-C03</t>
  </si>
  <si>
    <t xml:space="preserve">Rejection Fan Power (Total)</t>
  </si>
  <si>
    <t xml:space="preserve">Total electrical power consumed by rejection fans</t>
  </si>
  <si>
    <t xml:space="preserve">Parasitic load — affects PUE</t>
  </si>
  <si>
    <t xml:space="preserve">2.6  THERMAL MODE STATE ENGINE</t>
  </si>
  <si>
    <t xml:space="preserve">TH-MODE-001</t>
  </si>
  <si>
    <t xml:space="preserve">Mode Engine</t>
  </si>
  <si>
    <t xml:space="preserve">Active Operating Mode</t>
  </si>
  <si>
    <t xml:space="preserve">Current thermal mode: 1=Export, 2=Mixed, 3=Reject, 4=Maint</t>
  </si>
  <si>
    <t xml:space="preserve">Safety PLC</t>
  </si>
  <si>
    <t xml:space="preserve">1–4</t>
  </si>
  <si>
    <t xml:space="preserve">Mode</t>
  </si>
  <si>
    <t xml:space="preserve">PLC-THM</t>
  </si>
  <si>
    <t xml:space="preserve">Primary mode state — safety-critical</t>
  </si>
  <si>
    <t xml:space="preserve">TH-MODE-002</t>
  </si>
  <si>
    <t xml:space="preserve">Mode Transition In-Progress</t>
  </si>
  <si>
    <t xml:space="preserve">Mode transition currently executing</t>
  </si>
  <si>
    <t xml:space="preserve">Valve repositioning in progress</t>
  </si>
  <si>
    <t xml:space="preserve">TH-MODE-003</t>
  </si>
  <si>
    <t xml:space="preserve">Mode Transition Timer</t>
  </si>
  <si>
    <t xml:space="preserve">Seconds elapsed in current transition</t>
  </si>
  <si>
    <t xml:space="preserve">s</t>
  </si>
  <si>
    <t xml:space="preserve">Alarm if transition exceeds timeout</t>
  </si>
  <si>
    <t xml:space="preserve">TH-MODE-004</t>
  </si>
  <si>
    <t xml:space="preserve">Mode Override Active</t>
  </si>
  <si>
    <t xml:space="preserve">Manual/operator mode override in effect</t>
  </si>
  <si>
    <t xml:space="preserve">Alert NOC of manual control</t>
  </si>
  <si>
    <t xml:space="preserve">TH-MODE-005</t>
  </si>
  <si>
    <t xml:space="preserve">Mode Command (from MCS)</t>
  </si>
  <si>
    <t xml:space="preserve">Requested mode from application layer</t>
  </si>
  <si>
    <t xml:space="preserve">Application → PLC mode request</t>
  </si>
  <si>
    <t xml:space="preserve">TH-MODE-006</t>
  </si>
  <si>
    <t xml:space="preserve">Mode Confirm (from PLC)</t>
  </si>
  <si>
    <t xml:space="preserve">PLC confirmation of mode achieved</t>
  </si>
  <si>
    <t xml:space="preserve">Mismatch command vs confirm = P1</t>
  </si>
  <si>
    <t xml:space="preserve">TH-MODE-007</t>
  </si>
  <si>
    <t xml:space="preserve">All Valve Positions Confirmed</t>
  </si>
  <si>
    <t xml:space="preserve">All mode-dependent valves in correct position</t>
  </si>
  <si>
    <t xml:space="preserve">P0 if valves mispositioned in any mode</t>
  </si>
  <si>
    <t xml:space="preserve">TH-MODE-008</t>
  </si>
  <si>
    <t xml:space="preserve">Safety PLC Heartbeat</t>
  </si>
  <si>
    <t xml:space="preserve">Thermal mode PLC alive/healthy indicator</t>
  </si>
  <si>
    <t xml:space="preserve">P0 on loss — default to reject mode</t>
  </si>
  <si>
    <t xml:space="preserve">TH-MODE-009</t>
  </si>
  <si>
    <t xml:space="preserve">Safety PLC Fault Code</t>
  </si>
  <si>
    <t xml:space="preserve">Diagnostic fault code from thermal safety PLC</t>
  </si>
  <si>
    <t xml:space="preserve">Code</t>
  </si>
  <si>
    <t xml:space="preserve">Fault lookup table in MCS</t>
  </si>
  <si>
    <t xml:space="preserve">TH-MODE-C01</t>
  </si>
  <si>
    <t xml:space="preserve">Mode Calc</t>
  </si>
  <si>
    <t xml:space="preserve">Time in Export Mode (Today)</t>
  </si>
  <si>
    <t xml:space="preserve">Cumulative hours in export mode — current day</t>
  </si>
  <si>
    <t xml:space="preserve">0–24</t>
  </si>
  <si>
    <t xml:space="preserve">Revenue / host value tracking</t>
  </si>
  <si>
    <t xml:space="preserve">TH-MODE-C02</t>
  </si>
  <si>
    <t xml:space="preserve">Export Mode Availability %</t>
  </si>
  <si>
    <t xml:space="preserve">% of time in export mode — rolling 30 days</t>
  </si>
  <si>
    <t xml:space="preserve">Host SLA compliance metric</t>
  </si>
  <si>
    <t xml:space="preserve">TH-MODE-C03</t>
  </si>
  <si>
    <t xml:space="preserve">Mode Transitions Today</t>
  </si>
  <si>
    <t xml:space="preserve">Count of mode transitions — current day</t>
  </si>
  <si>
    <t xml:space="preserve">count</t>
  </si>
  <si>
    <t xml:space="preserve">High transitions = instability alarm</t>
  </si>
  <si>
    <t xml:space="preserve">2.7  THERMAL SAFETY &amp; LEAK DETECTION</t>
  </si>
  <si>
    <t xml:space="preserve">2.7.1  TPM Leak Containment</t>
  </si>
  <si>
    <t xml:space="preserve">TH-SAF-001</t>
  </si>
  <si>
    <t xml:space="preserve">Safety</t>
  </si>
  <si>
    <t xml:space="preserve">Leak — TPM Drip Tray 1 (HX Area)</t>
  </si>
  <si>
    <t xml:space="preserve">Drip tray under plate heat exchanger</t>
  </si>
  <si>
    <t xml:space="preserve">LEAK-TPM-01</t>
  </si>
  <si>
    <t xml:space="preserve">P0 — major leak at HX; isolate</t>
  </si>
  <si>
    <t xml:space="preserve">TH-SAF-002</t>
  </si>
  <si>
    <t xml:space="preserve">Leak — TPM Drip Tray 2 (Pump Area)</t>
  </si>
  <si>
    <t xml:space="preserve">Drip tray under pump station</t>
  </si>
  <si>
    <t xml:space="preserve">LEAK-TPM-02</t>
  </si>
  <si>
    <t xml:space="preserve">P0 — pump seal or flange failure</t>
  </si>
  <si>
    <t xml:space="preserve">TH-SAF-003</t>
  </si>
  <si>
    <t xml:space="preserve">Leak — TPM Drip Tray 3 (Valve Gallery)</t>
  </si>
  <si>
    <t xml:space="preserve">Drip tray under valve manifold area</t>
  </si>
  <si>
    <t xml:space="preserve">LEAK-TPM-03</t>
  </si>
  <si>
    <t xml:space="preserve">Valve packing or joint leak</t>
  </si>
  <si>
    <t xml:space="preserve">TH-SAF-004</t>
  </si>
  <si>
    <t xml:space="preserve">Leak — TPM Perimeter Rope</t>
  </si>
  <si>
    <t xml:space="preserve">Rope-style leak sensor around TPM perimeter</t>
  </si>
  <si>
    <t xml:space="preserve">LEAK-TPM-ROPE</t>
  </si>
  <si>
    <t xml:space="preserve">Secondary containment breach</t>
  </si>
  <si>
    <t xml:space="preserve">TH-SAF-005</t>
  </si>
  <si>
    <t xml:space="preserve">Leak — Pipe Penetration (CM-TPM)</t>
  </si>
  <si>
    <t xml:space="preserve">Sensor at wall/floor penetration between Compute Module and TPM</t>
  </si>
  <si>
    <t xml:space="preserve">LEAK-PEN-01</t>
  </si>
  <si>
    <t xml:space="preserve">P0 — protect IT environment from water</t>
  </si>
  <si>
    <t xml:space="preserve">TH-SAF-006</t>
  </si>
  <si>
    <t xml:space="preserve">Sump/Drain Level — TPM</t>
  </si>
  <si>
    <t xml:space="preserve">TPM containment sump water level</t>
  </si>
  <si>
    <t xml:space="preserve">LEVEL-SUMP</t>
  </si>
  <si>
    <t xml:space="preserve">Rising level = undetected leak</t>
  </si>
  <si>
    <t xml:space="preserve">2.7.2  Overpressure &amp; Relief</t>
  </si>
  <si>
    <t xml:space="preserve">TH-SAF-007</t>
  </si>
  <si>
    <t xml:space="preserve">PRV Discharge — L2 Loop</t>
  </si>
  <si>
    <t xml:space="preserve">Pressure relief valve has discharged on L2</t>
  </si>
  <si>
    <t xml:space="preserve">PRV-L2</t>
  </si>
  <si>
    <t xml:space="preserve">P0 — overpressure event; investigate immediately</t>
  </si>
  <si>
    <t xml:space="preserve">TH-SAF-008</t>
  </si>
  <si>
    <t xml:space="preserve">PRV Discharge — HX Secondary</t>
  </si>
  <si>
    <t xml:space="preserve">PRV discharge on host-side HX boundary</t>
  </si>
  <si>
    <t xml:space="preserve">PRV-HX-S</t>
  </si>
  <si>
    <t xml:space="preserve">Cross-system pressure event</t>
  </si>
  <si>
    <t xml:space="preserve">TH-SAF-009</t>
  </si>
  <si>
    <t xml:space="preserve">Pressure Transient Alert</t>
  </si>
  <si>
    <t xml:space="preserve">Rapid pressure change detected (water hammer)</t>
  </si>
  <si>
    <t xml:space="preserve">PLC-derived from pressure rate of change</t>
  </si>
  <si>
    <t xml:space="preserve">2.7.3  Glycol &amp; Chemical Safety</t>
  </si>
  <si>
    <t xml:space="preserve">TH-SAF-010</t>
  </si>
  <si>
    <t xml:space="preserve">Glycol Spill — TPM Floor</t>
  </si>
  <si>
    <t xml:space="preserve">Glycol spill detection sensor at low point</t>
  </si>
  <si>
    <t xml:space="preserve">SPILL-GLY-01</t>
  </si>
  <si>
    <t xml:space="preserve">Trigger ventilation increase</t>
  </si>
  <si>
    <t xml:space="preserve">TH-SAF-011</t>
  </si>
  <si>
    <t xml:space="preserve">TPM Ventilation Override Status</t>
  </si>
  <si>
    <t xml:space="preserve">TPM ventilation in high-flow override mode</t>
  </si>
  <si>
    <t xml:space="preserve">Auto-activated on spill/VOC alarm</t>
  </si>
  <si>
    <t xml:space="preserve">TH-SAF-012</t>
  </si>
  <si>
    <t xml:space="preserve">Eye Wash Station Check</t>
  </si>
  <si>
    <t xml:space="preserve">Eye wash station weekly test confirmation</t>
  </si>
  <si>
    <t xml:space="preserve">Manual/REST</t>
  </si>
  <si>
    <t xml:space="preserve">86400s</t>
  </si>
  <si>
    <t xml:space="preserve">MANUAL</t>
  </si>
  <si>
    <t xml:space="preserve">Compliance tracking — OSHA/local regs</t>
  </si>
  <si>
    <t xml:space="preserve">2.7.4  Freeze Protection (Regional)</t>
  </si>
  <si>
    <t xml:space="preserve">TH-SAF-013</t>
  </si>
  <si>
    <t xml:space="preserve">Pipe Surface Temp — Exposed Run 1</t>
  </si>
  <si>
    <t xml:space="preserve">Surface temp on exposed pipe between TPM and cooler</t>
  </si>
  <si>
    <t xml:space="preserve">-30–50</t>
  </si>
  <si>
    <t xml:space="preserve">TEMP-PIPE-01</t>
  </si>
  <si>
    <t xml:space="preserve">Regional deployments — freeze risk</t>
  </si>
  <si>
    <t xml:space="preserve">TH-SAF-014</t>
  </si>
  <si>
    <t xml:space="preserve">Pipe Surface Temp — Exposed Run 2</t>
  </si>
  <si>
    <t xml:space="preserve">Surface temp on second exposed pipe section</t>
  </si>
  <si>
    <t xml:space="preserve">TEMP-PIPE-02</t>
  </si>
  <si>
    <t xml:space="preserve">Redundant sensing</t>
  </si>
  <si>
    <t xml:space="preserve">TH-SAF-015</t>
  </si>
  <si>
    <t xml:space="preserve">Trace Heating Status</t>
  </si>
  <si>
    <t xml:space="preserve">Electric trace heating circuit — energized/off/fault</t>
  </si>
  <si>
    <t xml:space="preserve">TRACE-01</t>
  </si>
  <si>
    <t xml:space="preserve">Must be energized below 5°C ambient</t>
  </si>
  <si>
    <t xml:space="preserve">TH-SAF-016</t>
  </si>
  <si>
    <t xml:space="preserve">Trace Heating Command</t>
  </si>
  <si>
    <t xml:space="preserve">Enable/disable trace heating</t>
  </si>
  <si>
    <t xml:space="preserve">Auto-enable on low ambient temp</t>
  </si>
  <si>
    <t xml:space="preserve">TH-SAF-C01</t>
  </si>
  <si>
    <t xml:space="preserve">Safety Calc</t>
  </si>
  <si>
    <t xml:space="preserve">Freeze Risk Score</t>
  </si>
  <si>
    <t xml:space="preserve">Composite score from pipe temps, ambient, glycol concentration</t>
  </si>
  <si>
    <t xml:space="preserve">High score = increase monitoring frequency</t>
  </si>
  <si>
    <t xml:space="preserve">TH-SAF-C02</t>
  </si>
  <si>
    <t xml:space="preserve">Thermal Safety Summary</t>
  </si>
  <si>
    <t xml:space="preserve">Composite all-clear / attention / alarm state for TPM</t>
  </si>
  <si>
    <t xml:space="preserve">0–2</t>
  </si>
  <si>
    <t xml:space="preserve">State</t>
  </si>
  <si>
    <t xml:space="preserve">0=All-clear, 1=Attention, 2=Alarm</t>
  </si>
  <si>
    <t xml:space="preserve">COMMUNICATION PROTOCOLS &amp; HARDWARE REGISTER</t>
  </si>
  <si>
    <t xml:space="preserve">Protocol</t>
  </si>
  <si>
    <t xml:space="preserve">Layer</t>
  </si>
  <si>
    <t xml:space="preserve">Typical Devices</t>
  </si>
  <si>
    <t xml:space="preserve">Port / Bus</t>
  </si>
  <si>
    <t xml:space="preserve">Field → Edge</t>
  </si>
  <si>
    <t xml:space="preserve">Power meters, PDUs, pumps, VFDs, flow meters, CDUs</t>
  </si>
  <si>
    <t xml:space="preserve">TCP/502</t>
  </si>
  <si>
    <t xml:space="preserve">Most common industrial protocol in MicroLink deployments; 1-second polling typical</t>
  </si>
  <si>
    <t xml:space="preserve">Modbus RTU</t>
  </si>
  <si>
    <t xml:space="preserve">Legacy sensors, local instruments on RS-485 bus</t>
  </si>
  <si>
    <t xml:space="preserve">RS-485</t>
  </si>
  <si>
    <t xml:space="preserve">Used where TCP not available; gateway converts to TCP at edge</t>
  </si>
  <si>
    <t xml:space="preserve">HVAC units, host BMS interface, room controllers</t>
  </si>
  <si>
    <t xml:space="preserve">UDP/47808</t>
  </si>
  <si>
    <t xml:space="preserve">Primary protocol for host facility integration and environmental monitoring</t>
  </si>
  <si>
    <t xml:space="preserve">SNMP v2c/v3</t>
  </si>
  <si>
    <t xml:space="preserve">UPS, network switches, IP cameras, NVR, PDUs</t>
  </si>
  <si>
    <t xml:space="preserve">UDP/161</t>
  </si>
  <si>
    <t xml:space="preserve">v3 preferred for authentication; v2c where vendor mandates</t>
  </si>
  <si>
    <t xml:space="preserve">Edge → Cloud</t>
  </si>
  <si>
    <t xml:space="preserve">Edge gateway telemetry, IoT sensors, heartbeat</t>
  </si>
  <si>
    <t xml:space="preserve">TCP/8883</t>
  </si>
  <si>
    <t xml:space="preserve">TLS-encrypted; QoS 1 for telemetry; QoS 2 for commands</t>
  </si>
  <si>
    <t xml:space="preserve">OPC UA</t>
  </si>
  <si>
    <t xml:space="preserve">Industrial PLCs, advanced CDUs, thermal PLC</t>
  </si>
  <si>
    <t xml:space="preserve">TCP/4840</t>
  </si>
  <si>
    <t xml:space="preserve">Secure; used for complex data structures from PLC/SCADA tier</t>
  </si>
  <si>
    <t xml:space="preserve">Sensor → I/O</t>
  </si>
  <si>
    <t xml:space="preserve">Pressure transducers, level sensors, some flow meters</t>
  </si>
  <si>
    <t xml:space="preserve">Analog</t>
  </si>
  <si>
    <t xml:space="preserve">Hardwired to edge I/O module; most reliable for safety-critical</t>
  </si>
  <si>
    <t xml:space="preserve">Door switches, leak sensors, relay outputs, fire panel</t>
  </si>
  <si>
    <t xml:space="preserve">Digital I/O</t>
  </si>
  <si>
    <t xml:space="preserve">Voltage-free contacts; most robust for binary signals</t>
  </si>
  <si>
    <t xml:space="preserve">Camera → NVR</t>
  </si>
  <si>
    <t xml:space="preserve">IP security cameras — streaming &amp; event notification</t>
  </si>
  <si>
    <t xml:space="preserve">TCP/HTTP</t>
  </si>
  <si>
    <t xml:space="preserve">Standard for cross-vendor camera integration</t>
  </si>
  <si>
    <t xml:space="preserve">Reader → Panel</t>
  </si>
  <si>
    <t xml:space="preserve">Badge readers, electronic locks</t>
  </si>
  <si>
    <t xml:space="preserve">Modern secure access control protocol replacing Wiegand</t>
  </si>
  <si>
    <t xml:space="preserve">App → App</t>
  </si>
  <si>
    <t xml:space="preserve">Host portal, colo partner API, billing system, MCS internal</t>
  </si>
  <si>
    <t xml:space="preserve">HTTPS/443</t>
  </si>
  <si>
    <t xml:space="preserve">JSON payloads; OAuth2 auth; rate-limited external access</t>
  </si>
  <si>
    <t xml:space="preserve">gNMI/gRPC</t>
  </si>
  <si>
    <t xml:space="preserve">Network → Edge</t>
  </si>
  <si>
    <t xml:space="preserve">Streaming network telemetry from routers/switches</t>
  </si>
  <si>
    <t xml:space="preserve">TCP/9339</t>
  </si>
  <si>
    <t xml:space="preserve">High-frequency telemetry for network performance monitoring</t>
  </si>
  <si>
    <t xml:space="preserve">PLC → Edge</t>
  </si>
  <si>
    <t xml:space="preserve">Thermal mode controller, safety interlocks</t>
  </si>
  <si>
    <t xml:space="preserve">Profinet/OPC</t>
  </si>
  <si>
    <t xml:space="preserve">Dedicated safety-rated PLC for thermal mode state machine</t>
  </si>
  <si>
    <t xml:space="preserve">ICMP</t>
  </si>
  <si>
    <t xml:space="preserve">Network Probe</t>
  </si>
  <si>
    <t xml:space="preserve">Latency and availability probes to IX/MMR</t>
  </si>
  <si>
    <t xml:space="preserve">IP</t>
  </si>
  <si>
    <t xml:space="preserve">Synthetic monitoring for SLA compliance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</si>
</sst>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A1628"/>
      <name val="Arial"/>
      <family val="0"/>
      <charset val="1"/>
    </font>
    <font>
      <sz val="10"/>
      <color rgb="FF4A5568"/>
      <name val="Arial"/>
      <family val="0"/>
      <charset val="1"/>
    </font>
    <font>
      <i val="true"/>
      <sz val="9"/>
      <color rgb="FF4A556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1A2332"/>
      <name val="Arial"/>
      <family val="0"/>
      <charset val="1"/>
    </font>
    <font>
      <b val="true"/>
      <sz val="9"/>
      <color rgb="FF1A233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A1628"/>
      <name val="Arial"/>
      <family val="0"/>
      <charset val="1"/>
    </font>
    <font>
      <b val="true"/>
      <sz val="9"/>
      <color rgb="FF0091FF"/>
      <name val="Consolas"/>
      <family val="0"/>
      <charset val="1"/>
    </font>
    <font>
      <sz val="8"/>
      <color rgb="FF4A5568"/>
      <name val="Arial"/>
      <family val="0"/>
      <charset val="1"/>
    </font>
    <font>
      <b val="true"/>
      <sz val="9"/>
      <color rgb="FFE53E3E"/>
      <name val="Consolas"/>
      <family val="0"/>
      <charset val="1"/>
    </font>
    <font>
      <b val="true"/>
      <sz val="9"/>
      <color rgb="FFFF6B35"/>
      <name val="Consolas"/>
      <family val="0"/>
      <charset val="1"/>
    </font>
    <font>
      <b val="true"/>
      <sz val="9"/>
      <color rgb="FFFFB020"/>
      <name val="Consolas"/>
      <family val="0"/>
      <charset val="1"/>
    </font>
    <font>
      <b val="true"/>
      <sz val="9"/>
      <color rgb="FF00B074"/>
      <name val="Consolas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8"/>
      <color rgb="FF1A2332"/>
      <name val="Arial"/>
      <family val="0"/>
      <charset val="1"/>
    </font>
    <font>
      <b val="true"/>
      <sz val="8"/>
      <color rgb="FF0091FF"/>
      <name val="Consolas"/>
      <family val="0"/>
      <charset val="1"/>
    </font>
    <font>
      <b val="true"/>
      <sz val="8"/>
      <color rgb="FFFF6B35"/>
      <name val="Consola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A1628"/>
        <bgColor rgb="FF1A2332"/>
      </patternFill>
    </fill>
    <fill>
      <patternFill patternType="solid">
        <fgColor rgb="FF0091FF"/>
        <bgColor rgb="FF3366FF"/>
      </patternFill>
    </fill>
    <fill>
      <patternFill patternType="solid">
        <fgColor rgb="FFF5F7FA"/>
        <bgColor rgb="FFEDF2F7"/>
      </patternFill>
    </fill>
    <fill>
      <patternFill patternType="solid">
        <fgColor rgb="FFFFFFFF"/>
        <bgColor rgb="FFF5F7FA"/>
      </patternFill>
    </fill>
    <fill>
      <patternFill patternType="solid">
        <fgColor rgb="FFE0E4EA"/>
        <bgColor rgb="FFEDF2F7"/>
      </patternFill>
    </fill>
    <fill>
      <patternFill patternType="solid">
        <fgColor rgb="FFFF6B35"/>
        <bgColor rgb="FFFF8080"/>
      </patternFill>
    </fill>
    <fill>
      <patternFill patternType="solid">
        <fgColor rgb="FFEDF2F7"/>
        <bgColor rgb="FFF5F7FA"/>
      </patternFill>
    </fill>
    <fill>
      <patternFill patternType="solid">
        <fgColor rgb="FF7C3AED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0E4EA"/>
      </left>
      <right style="thin">
        <color rgb="FFE0E4EA"/>
      </right>
      <top style="thin">
        <color rgb="FFE0E4EA"/>
      </top>
      <bottom style="thin">
        <color rgb="FFE0E4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E53E3E"/>
      <rgbColor rgb="FFF5F7FA"/>
      <rgbColor rgb="FFEDF2F7"/>
      <rgbColor rgb="FF660066"/>
      <rgbColor rgb="FFFF8080"/>
      <rgbColor rgb="FF0091FF"/>
      <rgbColor rgb="FFE0E4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B020"/>
      <rgbColor rgb="FFFF6B35"/>
      <rgbColor rgb="FF4A5568"/>
      <rgbColor rgb="FF969696"/>
      <rgbColor rgb="FF003366"/>
      <rgbColor rgb="FF00B074"/>
      <rgbColor rgb="FF0A1628"/>
      <rgbColor rgb="FF333300"/>
      <rgbColor rgb="FF993300"/>
      <rgbColor rgb="FF7C3AED"/>
      <rgbColor rgb="FF333399"/>
      <rgbColor rgb="FF1A2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1628"/>
    <pageSetUpPr fitToPage="false"/>
  </sheetPr>
  <dimension ref="A2:H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5"/>
    <col collapsed="false" customWidth="true" hidden="false" outlineLevel="0" max="7" min="3" style="1" width="12"/>
    <col collapsed="false" customWidth="true" hidden="false" outlineLevel="0" max="8" min="8" style="1" width="20"/>
  </cols>
  <sheetData>
    <row r="2" customFormat="false" ht="31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4" customFormat="false" ht="15" hidden="false" customHeight="true" outlineLevel="0" collapsed="false">
      <c r="B4" s="4" t="s">
        <v>2</v>
      </c>
      <c r="C4" s="4"/>
      <c r="D4" s="4"/>
      <c r="E4" s="4"/>
      <c r="F4" s="4"/>
      <c r="G4" s="4"/>
      <c r="H4" s="4"/>
    </row>
    <row r="6" customFormat="false" ht="15" hidden="false" customHeight="true" outlineLevel="0" collapsed="false">
      <c r="A6" s="5"/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5" t="s">
        <v>9</v>
      </c>
    </row>
    <row r="7" customFormat="false" ht="15" hidden="false" customHeight="true" outlineLevel="0" collapsed="false">
      <c r="B7" s="6" t="s">
        <v>10</v>
      </c>
      <c r="C7" s="7"/>
      <c r="D7" s="7"/>
      <c r="E7" s="7"/>
      <c r="F7" s="7"/>
      <c r="G7" s="7"/>
      <c r="H7" s="7"/>
    </row>
    <row r="8" customFormat="false" ht="15" hidden="false" customHeight="true" outlineLevel="0" collapsed="false">
      <c r="B8" s="8" t="s">
        <v>11</v>
      </c>
      <c r="C8" s="9" t="n">
        <v>28</v>
      </c>
      <c r="D8" s="9" t="n">
        <v>4</v>
      </c>
      <c r="E8" s="9" t="n">
        <v>18</v>
      </c>
      <c r="F8" s="9" t="n">
        <v>6</v>
      </c>
      <c r="G8" s="9" t="n">
        <v>5</v>
      </c>
      <c r="H8" s="9" t="n">
        <f aca="false">SUM(C8:G8)</f>
        <v>61</v>
      </c>
    </row>
    <row r="9" customFormat="false" ht="15" hidden="false" customHeight="true" outlineLevel="0" collapsed="false">
      <c r="B9" s="10" t="s">
        <v>12</v>
      </c>
      <c r="C9" s="11" t="n">
        <v>2</v>
      </c>
      <c r="D9" s="11" t="n">
        <v>0</v>
      </c>
      <c r="E9" s="11" t="n">
        <v>16</v>
      </c>
      <c r="F9" s="11" t="n">
        <v>4</v>
      </c>
      <c r="G9" s="11" t="n">
        <v>2</v>
      </c>
      <c r="H9" s="11" t="n">
        <f aca="false">SUM(C9:G9)</f>
        <v>24</v>
      </c>
    </row>
    <row r="10" customFormat="false" ht="15" hidden="false" customHeight="true" outlineLevel="0" collapsed="false">
      <c r="B10" s="8" t="s">
        <v>13</v>
      </c>
      <c r="C10" s="9" t="n">
        <v>22</v>
      </c>
      <c r="D10" s="9" t="n">
        <v>2</v>
      </c>
      <c r="E10" s="9" t="n">
        <v>14</v>
      </c>
      <c r="F10" s="9" t="n">
        <v>0</v>
      </c>
      <c r="G10" s="9" t="n">
        <v>4</v>
      </c>
      <c r="H10" s="9" t="n">
        <f aca="false">SUM(C10:G10)</f>
        <v>42</v>
      </c>
    </row>
    <row r="11" customFormat="false" ht="15" hidden="false" customHeight="true" outlineLevel="0" collapsed="false">
      <c r="B11" s="10" t="s">
        <v>14</v>
      </c>
      <c r="C11" s="11" t="n">
        <v>8</v>
      </c>
      <c r="D11" s="11" t="n">
        <v>0</v>
      </c>
      <c r="E11" s="11" t="n">
        <v>10</v>
      </c>
      <c r="F11" s="11" t="n">
        <v>0</v>
      </c>
      <c r="G11" s="11" t="n">
        <v>6</v>
      </c>
      <c r="H11" s="11" t="n">
        <f aca="false">SUM(C11:G11)</f>
        <v>24</v>
      </c>
    </row>
    <row r="12" customFormat="false" ht="15" hidden="false" customHeight="true" outlineLevel="0" collapsed="false">
      <c r="B12" s="8" t="s">
        <v>15</v>
      </c>
      <c r="C12" s="9" t="n">
        <v>16</v>
      </c>
      <c r="D12" s="9" t="n">
        <v>2</v>
      </c>
      <c r="E12" s="9" t="n">
        <v>8</v>
      </c>
      <c r="F12" s="9" t="n">
        <v>2</v>
      </c>
      <c r="G12" s="9" t="n">
        <v>4</v>
      </c>
      <c r="H12" s="9" t="n">
        <f aca="false">SUM(C12:G12)</f>
        <v>32</v>
      </c>
    </row>
    <row r="13" customFormat="false" ht="15" hidden="false" customHeight="true" outlineLevel="0" collapsed="false">
      <c r="B13" s="12" t="s">
        <v>16</v>
      </c>
      <c r="C13" s="13" t="n">
        <f aca="false">SUM(C8:C12)</f>
        <v>76</v>
      </c>
      <c r="D13" s="13" t="n">
        <f aca="false">SUM(D8:D12)</f>
        <v>8</v>
      </c>
      <c r="E13" s="13" t="n">
        <f aca="false">SUM(E8:E12)</f>
        <v>66</v>
      </c>
      <c r="F13" s="13" t="n">
        <f aca="false">SUM(F8:F12)</f>
        <v>12</v>
      </c>
      <c r="G13" s="13" t="n">
        <f aca="false">SUM(G8:G12)</f>
        <v>21</v>
      </c>
      <c r="H13" s="13" t="n">
        <f aca="false">SUM(C13:G13)</f>
        <v>183</v>
      </c>
    </row>
    <row r="14" customFormat="false" ht="15" hidden="false" customHeight="true" outlineLevel="0" collapsed="false">
      <c r="B14" s="14"/>
      <c r="C14" s="15"/>
      <c r="D14" s="15"/>
      <c r="E14" s="15"/>
      <c r="F14" s="15"/>
      <c r="G14" s="15"/>
      <c r="H14" s="15"/>
    </row>
    <row r="15" customFormat="false" ht="15" hidden="false" customHeight="true" outlineLevel="0" collapsed="false">
      <c r="B15" s="16" t="s">
        <v>17</v>
      </c>
      <c r="C15" s="17"/>
      <c r="D15" s="17"/>
      <c r="E15" s="17"/>
      <c r="F15" s="17"/>
      <c r="G15" s="17"/>
      <c r="H15" s="17"/>
    </row>
    <row r="16" customFormat="false" ht="15" hidden="false" customHeight="true" outlineLevel="0" collapsed="false">
      <c r="B16" s="8" t="s">
        <v>18</v>
      </c>
      <c r="C16" s="9" t="n">
        <v>14</v>
      </c>
      <c r="D16" s="9" t="n">
        <v>4</v>
      </c>
      <c r="E16" s="9" t="n">
        <v>6</v>
      </c>
      <c r="F16" s="9" t="n">
        <v>2</v>
      </c>
      <c r="G16" s="9" t="n">
        <v>4</v>
      </c>
      <c r="H16" s="9" t="n">
        <f aca="false">SUM(C16:G16)</f>
        <v>30</v>
      </c>
    </row>
    <row r="17" customFormat="false" ht="15" hidden="false" customHeight="true" outlineLevel="0" collapsed="false">
      <c r="B17" s="10" t="s">
        <v>19</v>
      </c>
      <c r="C17" s="11" t="n">
        <v>20</v>
      </c>
      <c r="D17" s="11" t="n">
        <v>6</v>
      </c>
      <c r="E17" s="11" t="n">
        <v>10</v>
      </c>
      <c r="F17" s="11" t="n">
        <v>4</v>
      </c>
      <c r="G17" s="11" t="n">
        <v>6</v>
      </c>
      <c r="H17" s="11" t="n">
        <f aca="false">SUM(C17:G17)</f>
        <v>46</v>
      </c>
    </row>
    <row r="18" customFormat="false" ht="15" hidden="false" customHeight="true" outlineLevel="0" collapsed="false">
      <c r="B18" s="8" t="s">
        <v>20</v>
      </c>
      <c r="C18" s="9" t="n">
        <v>12</v>
      </c>
      <c r="D18" s="9" t="n">
        <v>2</v>
      </c>
      <c r="E18" s="9" t="n">
        <v>8</v>
      </c>
      <c r="F18" s="9" t="n">
        <v>2</v>
      </c>
      <c r="G18" s="9" t="n">
        <v>4</v>
      </c>
      <c r="H18" s="9" t="n">
        <f aca="false">SUM(C18:G18)</f>
        <v>28</v>
      </c>
    </row>
    <row r="19" customFormat="false" ht="15" hidden="false" customHeight="true" outlineLevel="0" collapsed="false">
      <c r="B19" s="10" t="s">
        <v>21</v>
      </c>
      <c r="C19" s="11" t="n">
        <v>6</v>
      </c>
      <c r="D19" s="11" t="n">
        <v>0</v>
      </c>
      <c r="E19" s="11" t="n">
        <v>6</v>
      </c>
      <c r="F19" s="11" t="n">
        <v>0</v>
      </c>
      <c r="G19" s="11" t="n">
        <v>3</v>
      </c>
      <c r="H19" s="11" t="n">
        <f aca="false">SUM(C19:G19)</f>
        <v>15</v>
      </c>
    </row>
    <row r="20" customFormat="false" ht="15" hidden="false" customHeight="true" outlineLevel="0" collapsed="false">
      <c r="B20" s="8" t="s">
        <v>22</v>
      </c>
      <c r="C20" s="9" t="n">
        <v>10</v>
      </c>
      <c r="D20" s="9" t="n">
        <v>4</v>
      </c>
      <c r="E20" s="9" t="n">
        <v>8</v>
      </c>
      <c r="F20" s="9" t="n">
        <v>2</v>
      </c>
      <c r="G20" s="9" t="n">
        <v>3</v>
      </c>
      <c r="H20" s="9" t="n">
        <f aca="false">SUM(C20:G20)</f>
        <v>27</v>
      </c>
    </row>
    <row r="21" customFormat="false" ht="15" hidden="false" customHeight="true" outlineLevel="0" collapsed="false">
      <c r="B21" s="10" t="s">
        <v>23</v>
      </c>
      <c r="C21" s="11" t="n">
        <v>6</v>
      </c>
      <c r="D21" s="11" t="n">
        <v>0</v>
      </c>
      <c r="E21" s="11" t="n">
        <v>16</v>
      </c>
      <c r="F21" s="11" t="n">
        <v>2</v>
      </c>
      <c r="G21" s="11" t="n">
        <v>2</v>
      </c>
      <c r="H21" s="11" t="n">
        <f aca="false">SUM(C21:G21)</f>
        <v>26</v>
      </c>
    </row>
    <row r="22" customFormat="false" ht="15" hidden="false" customHeight="true" outlineLevel="0" collapsed="false">
      <c r="B22" s="12" t="s">
        <v>24</v>
      </c>
      <c r="C22" s="13" t="n">
        <f aca="false">SUM(C16:C21)</f>
        <v>68</v>
      </c>
      <c r="D22" s="13" t="n">
        <f aca="false">SUM(D16:D21)</f>
        <v>16</v>
      </c>
      <c r="E22" s="13" t="n">
        <f aca="false">SUM(E16:E21)</f>
        <v>54</v>
      </c>
      <c r="F22" s="13" t="n">
        <f aca="false">SUM(F16:F21)</f>
        <v>12</v>
      </c>
      <c r="G22" s="13" t="n">
        <f aca="false">SUM(G16:G21)</f>
        <v>22</v>
      </c>
      <c r="H22" s="13" t="n">
        <f aca="false">SUM(C22:G22)</f>
        <v>172</v>
      </c>
    </row>
    <row r="23" customFormat="false" ht="15" hidden="false" customHeight="true" outlineLevel="0" collapsed="false">
      <c r="B23" s="14"/>
      <c r="C23" s="15"/>
      <c r="D23" s="15"/>
      <c r="E23" s="15"/>
      <c r="F23" s="15"/>
      <c r="G23" s="15"/>
      <c r="H23" s="15"/>
    </row>
    <row r="24" customFormat="false" ht="15" hidden="false" customHeight="true" outlineLevel="0" collapsed="false">
      <c r="B24" s="18" t="s">
        <v>25</v>
      </c>
      <c r="C24" s="19" t="n">
        <f aca="false">C13+C22</f>
        <v>144</v>
      </c>
      <c r="D24" s="19" t="n">
        <f aca="false">D13+D22</f>
        <v>24</v>
      </c>
      <c r="E24" s="19" t="n">
        <f aca="false">E13+E22</f>
        <v>120</v>
      </c>
      <c r="F24" s="19" t="n">
        <f aca="false">F13+F22</f>
        <v>24</v>
      </c>
      <c r="G24" s="19" t="n">
        <f aca="false">G13+G22</f>
        <v>43</v>
      </c>
      <c r="H24" s="19" t="n">
        <f aca="false">H13+H22</f>
        <v>355</v>
      </c>
    </row>
    <row r="27" customFormat="false" ht="15" hidden="false" customHeight="true" outlineLevel="0" collapsed="false">
      <c r="B27" s="20" t="s">
        <v>26</v>
      </c>
      <c r="C27" s="20"/>
      <c r="D27" s="20"/>
      <c r="E27" s="20"/>
      <c r="F27" s="20"/>
      <c r="G27" s="20"/>
      <c r="H27" s="20"/>
    </row>
    <row r="28" customFormat="false" ht="15" hidden="false" customHeight="true" outlineLevel="0" collapsed="false">
      <c r="B28" s="21" t="s">
        <v>4</v>
      </c>
      <c r="C28" s="22" t="s">
        <v>27</v>
      </c>
      <c r="D28" s="22"/>
      <c r="E28" s="22"/>
      <c r="F28" s="22"/>
      <c r="G28" s="22"/>
      <c r="H28" s="22"/>
    </row>
    <row r="29" customFormat="false" ht="15" hidden="false" customHeight="true" outlineLevel="0" collapsed="false">
      <c r="B29" s="21" t="s">
        <v>5</v>
      </c>
      <c r="C29" s="22" t="s">
        <v>28</v>
      </c>
      <c r="D29" s="22"/>
      <c r="E29" s="22"/>
      <c r="F29" s="22"/>
      <c r="G29" s="22"/>
      <c r="H29" s="22"/>
    </row>
    <row r="30" customFormat="false" ht="15" hidden="false" customHeight="true" outlineLevel="0" collapsed="false">
      <c r="B30" s="21" t="s">
        <v>6</v>
      </c>
      <c r="C30" s="22" t="s">
        <v>29</v>
      </c>
      <c r="D30" s="22"/>
      <c r="E30" s="22"/>
      <c r="F30" s="22"/>
      <c r="G30" s="22"/>
      <c r="H30" s="22"/>
    </row>
    <row r="31" customFormat="false" ht="15" hidden="false" customHeight="true" outlineLevel="0" collapsed="false">
      <c r="B31" s="21" t="s">
        <v>7</v>
      </c>
      <c r="C31" s="22" t="s">
        <v>30</v>
      </c>
      <c r="D31" s="22"/>
      <c r="E31" s="22"/>
      <c r="F31" s="22"/>
      <c r="G31" s="22"/>
      <c r="H31" s="22"/>
    </row>
    <row r="32" customFormat="false" ht="15" hidden="false" customHeight="true" outlineLevel="0" collapsed="false">
      <c r="B32" s="21" t="s">
        <v>8</v>
      </c>
      <c r="C32" s="22" t="s">
        <v>31</v>
      </c>
      <c r="D32" s="22"/>
      <c r="E32" s="22"/>
      <c r="F32" s="22"/>
      <c r="G32" s="22"/>
      <c r="H32" s="22"/>
    </row>
    <row r="34" customFormat="false" ht="15" hidden="false" customHeight="true" outlineLevel="0" collapsed="false">
      <c r="B34" s="20" t="s">
        <v>32</v>
      </c>
      <c r="C34" s="20"/>
      <c r="D34" s="20"/>
      <c r="E34" s="20"/>
      <c r="F34" s="20"/>
      <c r="G34" s="20"/>
      <c r="H34" s="20"/>
    </row>
    <row r="35" customFormat="false" ht="15" hidden="false" customHeight="true" outlineLevel="0" collapsed="false">
      <c r="B35" s="23" t="s">
        <v>33</v>
      </c>
      <c r="C35" s="22" t="s">
        <v>34</v>
      </c>
      <c r="D35" s="22"/>
      <c r="E35" s="22"/>
      <c r="F35" s="22"/>
      <c r="G35" s="22"/>
      <c r="H35" s="22"/>
    </row>
    <row r="36" customFormat="false" ht="15" hidden="false" customHeight="true" outlineLevel="0" collapsed="false">
      <c r="B36" s="24" t="s">
        <v>35</v>
      </c>
      <c r="C36" s="22" t="s">
        <v>36</v>
      </c>
      <c r="D36" s="22"/>
      <c r="E36" s="22"/>
      <c r="F36" s="22"/>
      <c r="G36" s="22"/>
      <c r="H36" s="22"/>
    </row>
    <row r="37" customFormat="false" ht="15" hidden="false" customHeight="true" outlineLevel="0" collapsed="false">
      <c r="B37" s="25" t="s">
        <v>37</v>
      </c>
      <c r="C37" s="22" t="s">
        <v>38</v>
      </c>
      <c r="D37" s="22"/>
      <c r="E37" s="22"/>
      <c r="F37" s="22"/>
      <c r="G37" s="22"/>
      <c r="H37" s="22"/>
    </row>
    <row r="38" customFormat="false" ht="15" hidden="false" customHeight="true" outlineLevel="0" collapsed="false">
      <c r="B38" s="26" t="s">
        <v>39</v>
      </c>
      <c r="C38" s="22" t="s">
        <v>40</v>
      </c>
      <c r="D38" s="22"/>
      <c r="E38" s="22"/>
      <c r="F38" s="22"/>
      <c r="G38" s="22"/>
      <c r="H38" s="22"/>
    </row>
  </sheetData>
  <mergeCells count="14">
    <mergeCell ref="B2:H2"/>
    <mergeCell ref="B3:H3"/>
    <mergeCell ref="B4:H4"/>
    <mergeCell ref="B27:H27"/>
    <mergeCell ref="C28:H28"/>
    <mergeCell ref="C29:H29"/>
    <mergeCell ref="C30:H30"/>
    <mergeCell ref="C31:H31"/>
    <mergeCell ref="C32:H32"/>
    <mergeCell ref="B34:H34"/>
    <mergeCell ref="C35:H35"/>
    <mergeCell ref="C36:H36"/>
    <mergeCell ref="C37:H37"/>
    <mergeCell ref="C38:H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91FF"/>
    <pageSetUpPr fitToPage="false"/>
  </sheetPr>
  <dimension ref="A1:N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3"/>
    <col collapsed="false" customWidth="true" hidden="false" outlineLevel="0" max="3" min="3" style="1" width="16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7"/>
    <col collapsed="false" customWidth="true" hidden="false" outlineLevel="0" max="8" min="7" style="1" width="12"/>
    <col collapsed="false" customWidth="true" hidden="false" outlineLevel="0" max="9" min="9" style="1" width="8"/>
    <col collapsed="false" customWidth="true" hidden="false" outlineLevel="0" max="11" min="10" style="1" width="7"/>
    <col collapsed="false" customWidth="true" hidden="false" outlineLevel="0" max="12" min="12" style="1" width="9"/>
    <col collapsed="false" customWidth="true" hidden="false" outlineLevel="0" max="13" min="13" style="1" width="12"/>
    <col collapsed="false" customWidth="true" hidden="false" outlineLevel="0" max="14" min="14" style="1" width="30"/>
  </cols>
  <sheetData>
    <row r="1" customFormat="false" ht="27.75" hidden="false" customHeight="true" outlineLevel="0" collapsed="false">
      <c r="A1" s="27" t="s">
        <v>41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customFormat="false" ht="24" hidden="false" customHeight="true" outlineLevel="0" collapsed="false">
      <c r="A2" s="7" t="s">
        <v>42</v>
      </c>
      <c r="B2" s="7" t="s">
        <v>3</v>
      </c>
      <c r="C2" s="7" t="s">
        <v>43</v>
      </c>
      <c r="D2" s="7" t="s">
        <v>44</v>
      </c>
      <c r="E2" s="7" t="s">
        <v>45</v>
      </c>
      <c r="F2" s="7" t="s">
        <v>46</v>
      </c>
      <c r="G2" s="7" t="s">
        <v>47</v>
      </c>
      <c r="H2" s="7" t="s">
        <v>48</v>
      </c>
      <c r="I2" s="7" t="s">
        <v>49</v>
      </c>
      <c r="J2" s="7" t="s">
        <v>50</v>
      </c>
      <c r="K2" s="7" t="s">
        <v>51</v>
      </c>
      <c r="L2" s="7" t="s">
        <v>52</v>
      </c>
      <c r="M2" s="7" t="s">
        <v>53</v>
      </c>
      <c r="N2" s="7" t="s">
        <v>54</v>
      </c>
    </row>
    <row r="3" customFormat="false" ht="21.75" hidden="false" customHeight="true" outlineLevel="0" collapsed="false">
      <c r="A3" s="28" t="s">
        <v>55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customFormat="false" ht="18" hidden="false" customHeight="true" outlineLevel="0" collapsed="false">
      <c r="A4" s="29" t="s">
        <v>56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27.75" hidden="false" customHeight="true" outlineLevel="0" collapsed="false">
      <c r="A5" s="30" t="s">
        <v>57</v>
      </c>
      <c r="B5" s="31" t="s">
        <v>58</v>
      </c>
      <c r="C5" s="31" t="s">
        <v>59</v>
      </c>
      <c r="D5" s="31" t="s">
        <v>60</v>
      </c>
      <c r="E5" s="31" t="s">
        <v>61</v>
      </c>
      <c r="F5" s="11" t="s">
        <v>4</v>
      </c>
      <c r="G5" s="11" t="s">
        <v>62</v>
      </c>
      <c r="H5" s="11" t="s">
        <v>63</v>
      </c>
      <c r="I5" s="11" t="s">
        <v>64</v>
      </c>
      <c r="J5" s="11" t="s">
        <v>65</v>
      </c>
      <c r="K5" s="11" t="s">
        <v>35</v>
      </c>
      <c r="L5" s="11" t="s">
        <v>66</v>
      </c>
      <c r="M5" s="31" t="s">
        <v>67</v>
      </c>
      <c r="N5" s="31" t="s">
        <v>68</v>
      </c>
    </row>
    <row r="6" customFormat="false" ht="27.75" hidden="false" customHeight="true" outlineLevel="0" collapsed="false">
      <c r="A6" s="32" t="s">
        <v>69</v>
      </c>
      <c r="B6" s="33" t="s">
        <v>58</v>
      </c>
      <c r="C6" s="33" t="s">
        <v>59</v>
      </c>
      <c r="D6" s="33" t="s">
        <v>70</v>
      </c>
      <c r="E6" s="33" t="s">
        <v>71</v>
      </c>
      <c r="F6" s="9" t="s">
        <v>4</v>
      </c>
      <c r="G6" s="9" t="s">
        <v>62</v>
      </c>
      <c r="H6" s="9" t="s">
        <v>72</v>
      </c>
      <c r="I6" s="9" t="s">
        <v>73</v>
      </c>
      <c r="J6" s="9" t="s">
        <v>65</v>
      </c>
      <c r="K6" s="9" t="s">
        <v>35</v>
      </c>
      <c r="L6" s="9" t="s">
        <v>66</v>
      </c>
      <c r="M6" s="33" t="s">
        <v>67</v>
      </c>
      <c r="N6" s="33" t="s">
        <v>74</v>
      </c>
    </row>
    <row r="7" customFormat="false" ht="27.75" hidden="false" customHeight="true" outlineLevel="0" collapsed="false">
      <c r="A7" s="30" t="s">
        <v>75</v>
      </c>
      <c r="B7" s="31" t="s">
        <v>58</v>
      </c>
      <c r="C7" s="31" t="s">
        <v>59</v>
      </c>
      <c r="D7" s="31" t="s">
        <v>76</v>
      </c>
      <c r="E7" s="31" t="s">
        <v>77</v>
      </c>
      <c r="F7" s="11" t="s">
        <v>4</v>
      </c>
      <c r="G7" s="11" t="s">
        <v>62</v>
      </c>
      <c r="H7" s="11" t="s">
        <v>78</v>
      </c>
      <c r="I7" s="11" t="s">
        <v>79</v>
      </c>
      <c r="J7" s="11" t="s">
        <v>65</v>
      </c>
      <c r="K7" s="11" t="s">
        <v>35</v>
      </c>
      <c r="L7" s="11" t="s">
        <v>66</v>
      </c>
      <c r="M7" s="31" t="s">
        <v>67</v>
      </c>
      <c r="N7" s="31" t="s">
        <v>80</v>
      </c>
    </row>
    <row r="8" customFormat="false" ht="27.75" hidden="false" customHeight="true" outlineLevel="0" collapsed="false">
      <c r="A8" s="32" t="s">
        <v>81</v>
      </c>
      <c r="B8" s="33" t="s">
        <v>58</v>
      </c>
      <c r="C8" s="33" t="s">
        <v>59</v>
      </c>
      <c r="D8" s="33" t="s">
        <v>82</v>
      </c>
      <c r="E8" s="33" t="s">
        <v>83</v>
      </c>
      <c r="F8" s="9" t="s">
        <v>4</v>
      </c>
      <c r="G8" s="9" t="s">
        <v>62</v>
      </c>
      <c r="H8" s="9" t="s">
        <v>84</v>
      </c>
      <c r="I8" s="9" t="s">
        <v>85</v>
      </c>
      <c r="J8" s="9" t="s">
        <v>65</v>
      </c>
      <c r="K8" s="9" t="s">
        <v>37</v>
      </c>
      <c r="L8" s="9" t="s">
        <v>86</v>
      </c>
      <c r="M8" s="33" t="s">
        <v>67</v>
      </c>
      <c r="N8" s="33" t="s">
        <v>87</v>
      </c>
    </row>
    <row r="9" customFormat="false" ht="27.75" hidden="false" customHeight="true" outlineLevel="0" collapsed="false">
      <c r="A9" s="30" t="s">
        <v>88</v>
      </c>
      <c r="B9" s="31" t="s">
        <v>58</v>
      </c>
      <c r="C9" s="31" t="s">
        <v>59</v>
      </c>
      <c r="D9" s="31" t="s">
        <v>89</v>
      </c>
      <c r="E9" s="31" t="s">
        <v>90</v>
      </c>
      <c r="F9" s="11" t="s">
        <v>4</v>
      </c>
      <c r="G9" s="11" t="s">
        <v>62</v>
      </c>
      <c r="H9" s="11" t="s">
        <v>91</v>
      </c>
      <c r="I9" s="11" t="s">
        <v>92</v>
      </c>
      <c r="J9" s="11" t="s">
        <v>65</v>
      </c>
      <c r="K9" s="11" t="s">
        <v>35</v>
      </c>
      <c r="L9" s="11" t="s">
        <v>66</v>
      </c>
      <c r="M9" s="31" t="s">
        <v>67</v>
      </c>
      <c r="N9" s="31" t="s">
        <v>93</v>
      </c>
    </row>
    <row r="10" customFormat="false" ht="27.75" hidden="false" customHeight="true" outlineLevel="0" collapsed="false">
      <c r="A10" s="32" t="s">
        <v>94</v>
      </c>
      <c r="B10" s="33" t="s">
        <v>58</v>
      </c>
      <c r="C10" s="33" t="s">
        <v>59</v>
      </c>
      <c r="D10" s="33" t="s">
        <v>95</v>
      </c>
      <c r="E10" s="33" t="s">
        <v>96</v>
      </c>
      <c r="F10" s="9" t="s">
        <v>4</v>
      </c>
      <c r="G10" s="9" t="s">
        <v>62</v>
      </c>
      <c r="H10" s="9" t="s">
        <v>91</v>
      </c>
      <c r="I10" s="9" t="s">
        <v>97</v>
      </c>
      <c r="J10" s="9" t="s">
        <v>98</v>
      </c>
      <c r="K10" s="9" t="s">
        <v>99</v>
      </c>
      <c r="L10" s="9" t="s">
        <v>86</v>
      </c>
      <c r="M10" s="33" t="s">
        <v>67</v>
      </c>
      <c r="N10" s="33" t="s">
        <v>100</v>
      </c>
    </row>
    <row r="11" customFormat="false" ht="27.75" hidden="false" customHeight="true" outlineLevel="0" collapsed="false">
      <c r="A11" s="30" t="s">
        <v>101</v>
      </c>
      <c r="B11" s="31" t="s">
        <v>58</v>
      </c>
      <c r="C11" s="31" t="s">
        <v>59</v>
      </c>
      <c r="D11" s="31" t="s">
        <v>102</v>
      </c>
      <c r="E11" s="31" t="s">
        <v>103</v>
      </c>
      <c r="F11" s="11" t="s">
        <v>4</v>
      </c>
      <c r="G11" s="11" t="s">
        <v>62</v>
      </c>
      <c r="H11" s="11" t="s">
        <v>104</v>
      </c>
      <c r="I11" s="11" t="s">
        <v>105</v>
      </c>
      <c r="J11" s="11" t="s">
        <v>65</v>
      </c>
      <c r="K11" s="11" t="s">
        <v>37</v>
      </c>
      <c r="L11" s="11" t="s">
        <v>106</v>
      </c>
      <c r="M11" s="31" t="s">
        <v>67</v>
      </c>
      <c r="N11" s="31" t="s">
        <v>107</v>
      </c>
    </row>
    <row r="12" customFormat="false" ht="27.75" hidden="false" customHeight="true" outlineLevel="0" collapsed="false">
      <c r="A12" s="32" t="s">
        <v>108</v>
      </c>
      <c r="B12" s="33" t="s">
        <v>58</v>
      </c>
      <c r="C12" s="33" t="s">
        <v>59</v>
      </c>
      <c r="D12" s="33" t="s">
        <v>109</v>
      </c>
      <c r="E12" s="33" t="s">
        <v>110</v>
      </c>
      <c r="F12" s="9" t="s">
        <v>4</v>
      </c>
      <c r="G12" s="9" t="s">
        <v>62</v>
      </c>
      <c r="H12" s="9" t="s">
        <v>111</v>
      </c>
      <c r="I12" s="9" t="s">
        <v>112</v>
      </c>
      <c r="J12" s="9" t="s">
        <v>98</v>
      </c>
      <c r="K12" s="9" t="s">
        <v>99</v>
      </c>
      <c r="L12" s="9" t="s">
        <v>113</v>
      </c>
      <c r="M12" s="33" t="s">
        <v>67</v>
      </c>
      <c r="N12" s="33" t="s">
        <v>114</v>
      </c>
    </row>
    <row r="13" customFormat="false" ht="27.75" hidden="false" customHeight="true" outlineLevel="0" collapsed="false">
      <c r="A13" s="30" t="s">
        <v>115</v>
      </c>
      <c r="B13" s="31" t="s">
        <v>58</v>
      </c>
      <c r="C13" s="31" t="s">
        <v>59</v>
      </c>
      <c r="D13" s="31" t="s">
        <v>116</v>
      </c>
      <c r="E13" s="31" t="s">
        <v>117</v>
      </c>
      <c r="F13" s="11" t="s">
        <v>6</v>
      </c>
      <c r="G13" s="11" t="s">
        <v>62</v>
      </c>
      <c r="H13" s="11" t="s">
        <v>118</v>
      </c>
      <c r="I13" s="11" t="s">
        <v>99</v>
      </c>
      <c r="J13" s="11" t="s">
        <v>65</v>
      </c>
      <c r="K13" s="11" t="s">
        <v>33</v>
      </c>
      <c r="L13" s="11" t="s">
        <v>66</v>
      </c>
      <c r="M13" s="31" t="s">
        <v>67</v>
      </c>
      <c r="N13" s="31" t="s">
        <v>119</v>
      </c>
    </row>
    <row r="14" customFormat="false" ht="27.75" hidden="false" customHeight="true" outlineLevel="0" collapsed="false">
      <c r="A14" s="32" t="s">
        <v>120</v>
      </c>
      <c r="B14" s="33" t="s">
        <v>58</v>
      </c>
      <c r="C14" s="33" t="s">
        <v>59</v>
      </c>
      <c r="D14" s="33" t="s">
        <v>121</v>
      </c>
      <c r="E14" s="33" t="s">
        <v>122</v>
      </c>
      <c r="F14" s="9" t="s">
        <v>4</v>
      </c>
      <c r="G14" s="9" t="s">
        <v>62</v>
      </c>
      <c r="H14" s="9" t="s">
        <v>123</v>
      </c>
      <c r="I14" s="9" t="s">
        <v>124</v>
      </c>
      <c r="J14" s="9" t="s">
        <v>65</v>
      </c>
      <c r="K14" s="9" t="s">
        <v>35</v>
      </c>
      <c r="L14" s="9" t="s">
        <v>86</v>
      </c>
      <c r="M14" s="33" t="s">
        <v>125</v>
      </c>
      <c r="N14" s="33" t="s">
        <v>126</v>
      </c>
    </row>
    <row r="15" customFormat="false" ht="18" hidden="false" customHeight="true" outlineLevel="0" collapsed="false">
      <c r="A15" s="29" t="s">
        <v>127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</row>
    <row r="16" customFormat="false" ht="27.75" hidden="false" customHeight="true" outlineLevel="0" collapsed="false">
      <c r="A16" s="32" t="s">
        <v>128</v>
      </c>
      <c r="B16" s="33" t="s">
        <v>58</v>
      </c>
      <c r="C16" s="33" t="s">
        <v>129</v>
      </c>
      <c r="D16" s="33" t="s">
        <v>130</v>
      </c>
      <c r="E16" s="33" t="s">
        <v>131</v>
      </c>
      <c r="F16" s="9" t="s">
        <v>4</v>
      </c>
      <c r="G16" s="9" t="s">
        <v>132</v>
      </c>
      <c r="H16" s="9" t="s">
        <v>63</v>
      </c>
      <c r="I16" s="9" t="s">
        <v>64</v>
      </c>
      <c r="J16" s="9" t="s">
        <v>65</v>
      </c>
      <c r="K16" s="9" t="s">
        <v>35</v>
      </c>
      <c r="L16" s="9" t="s">
        <v>86</v>
      </c>
      <c r="M16" s="33" t="s">
        <v>133</v>
      </c>
      <c r="N16" s="33" t="s">
        <v>134</v>
      </c>
    </row>
    <row r="17" customFormat="false" ht="27.75" hidden="false" customHeight="true" outlineLevel="0" collapsed="false">
      <c r="A17" s="30" t="s">
        <v>135</v>
      </c>
      <c r="B17" s="31" t="s">
        <v>58</v>
      </c>
      <c r="C17" s="31" t="s">
        <v>129</v>
      </c>
      <c r="D17" s="31" t="s">
        <v>136</v>
      </c>
      <c r="E17" s="31" t="s">
        <v>137</v>
      </c>
      <c r="F17" s="11" t="s">
        <v>4</v>
      </c>
      <c r="G17" s="11" t="s">
        <v>132</v>
      </c>
      <c r="H17" s="11" t="s">
        <v>63</v>
      </c>
      <c r="I17" s="11" t="s">
        <v>64</v>
      </c>
      <c r="J17" s="11" t="s">
        <v>65</v>
      </c>
      <c r="K17" s="11" t="s">
        <v>33</v>
      </c>
      <c r="L17" s="11" t="s">
        <v>66</v>
      </c>
      <c r="M17" s="31" t="s">
        <v>133</v>
      </c>
      <c r="N17" s="31" t="s">
        <v>138</v>
      </c>
    </row>
    <row r="18" customFormat="false" ht="27.75" hidden="false" customHeight="true" outlineLevel="0" collapsed="false">
      <c r="A18" s="32" t="s">
        <v>139</v>
      </c>
      <c r="B18" s="33" t="s">
        <v>58</v>
      </c>
      <c r="C18" s="33" t="s">
        <v>129</v>
      </c>
      <c r="D18" s="33" t="s">
        <v>140</v>
      </c>
      <c r="E18" s="33" t="s">
        <v>141</v>
      </c>
      <c r="F18" s="9" t="s">
        <v>4</v>
      </c>
      <c r="G18" s="9" t="s">
        <v>132</v>
      </c>
      <c r="H18" s="9" t="s">
        <v>142</v>
      </c>
      <c r="I18" s="9" t="s">
        <v>105</v>
      </c>
      <c r="J18" s="9" t="s">
        <v>65</v>
      </c>
      <c r="K18" s="9" t="s">
        <v>35</v>
      </c>
      <c r="L18" s="9" t="s">
        <v>86</v>
      </c>
      <c r="M18" s="33" t="s">
        <v>133</v>
      </c>
      <c r="N18" s="33" t="s">
        <v>143</v>
      </c>
    </row>
    <row r="19" customFormat="false" ht="27.75" hidden="false" customHeight="true" outlineLevel="0" collapsed="false">
      <c r="A19" s="30" t="s">
        <v>144</v>
      </c>
      <c r="B19" s="31" t="s">
        <v>58</v>
      </c>
      <c r="C19" s="31" t="s">
        <v>129</v>
      </c>
      <c r="D19" s="31" t="s">
        <v>145</v>
      </c>
      <c r="E19" s="31" t="s">
        <v>146</v>
      </c>
      <c r="F19" s="11" t="s">
        <v>4</v>
      </c>
      <c r="G19" s="11" t="s">
        <v>132</v>
      </c>
      <c r="H19" s="11" t="s">
        <v>142</v>
      </c>
      <c r="I19" s="11" t="s">
        <v>105</v>
      </c>
      <c r="J19" s="11" t="s">
        <v>65</v>
      </c>
      <c r="K19" s="11" t="s">
        <v>35</v>
      </c>
      <c r="L19" s="11" t="s">
        <v>106</v>
      </c>
      <c r="M19" s="31" t="s">
        <v>133</v>
      </c>
      <c r="N19" s="31" t="s">
        <v>147</v>
      </c>
    </row>
    <row r="20" customFormat="false" ht="27.75" hidden="false" customHeight="true" outlineLevel="0" collapsed="false">
      <c r="A20" s="32" t="s">
        <v>148</v>
      </c>
      <c r="B20" s="33" t="s">
        <v>58</v>
      </c>
      <c r="C20" s="33" t="s">
        <v>129</v>
      </c>
      <c r="D20" s="33" t="s">
        <v>149</v>
      </c>
      <c r="E20" s="33" t="s">
        <v>150</v>
      </c>
      <c r="F20" s="9" t="s">
        <v>4</v>
      </c>
      <c r="G20" s="9" t="s">
        <v>132</v>
      </c>
      <c r="H20" s="9" t="s">
        <v>151</v>
      </c>
      <c r="I20" s="9" t="s">
        <v>152</v>
      </c>
      <c r="J20" s="9" t="s">
        <v>65</v>
      </c>
      <c r="K20" s="9" t="s">
        <v>33</v>
      </c>
      <c r="L20" s="9" t="s">
        <v>106</v>
      </c>
      <c r="M20" s="33" t="s">
        <v>133</v>
      </c>
      <c r="N20" s="33" t="s">
        <v>153</v>
      </c>
    </row>
    <row r="21" customFormat="false" ht="27.75" hidden="false" customHeight="true" outlineLevel="0" collapsed="false">
      <c r="A21" s="30" t="s">
        <v>154</v>
      </c>
      <c r="B21" s="31" t="s">
        <v>58</v>
      </c>
      <c r="C21" s="31" t="s">
        <v>129</v>
      </c>
      <c r="D21" s="31" t="s">
        <v>155</v>
      </c>
      <c r="E21" s="31" t="s">
        <v>156</v>
      </c>
      <c r="F21" s="11" t="s">
        <v>6</v>
      </c>
      <c r="G21" s="11" t="s">
        <v>132</v>
      </c>
      <c r="H21" s="11" t="s">
        <v>118</v>
      </c>
      <c r="I21" s="11" t="s">
        <v>99</v>
      </c>
      <c r="J21" s="11" t="s">
        <v>65</v>
      </c>
      <c r="K21" s="11" t="s">
        <v>35</v>
      </c>
      <c r="L21" s="11" t="s">
        <v>66</v>
      </c>
      <c r="M21" s="31" t="s">
        <v>133</v>
      </c>
      <c r="N21" s="31" t="s">
        <v>157</v>
      </c>
    </row>
    <row r="22" customFormat="false" ht="27.75" hidden="false" customHeight="true" outlineLevel="0" collapsed="false">
      <c r="A22" s="32" t="s">
        <v>158</v>
      </c>
      <c r="B22" s="33" t="s">
        <v>58</v>
      </c>
      <c r="C22" s="33" t="s">
        <v>129</v>
      </c>
      <c r="D22" s="33" t="s">
        <v>159</v>
      </c>
      <c r="E22" s="33" t="s">
        <v>160</v>
      </c>
      <c r="F22" s="9" t="s">
        <v>6</v>
      </c>
      <c r="G22" s="9" t="s">
        <v>132</v>
      </c>
      <c r="H22" s="9" t="s">
        <v>118</v>
      </c>
      <c r="I22" s="9" t="s">
        <v>99</v>
      </c>
      <c r="J22" s="9" t="s">
        <v>65</v>
      </c>
      <c r="K22" s="9" t="s">
        <v>33</v>
      </c>
      <c r="L22" s="9" t="s">
        <v>66</v>
      </c>
      <c r="M22" s="33" t="s">
        <v>133</v>
      </c>
      <c r="N22" s="33" t="s">
        <v>161</v>
      </c>
    </row>
    <row r="23" customFormat="false" ht="27.75" hidden="false" customHeight="true" outlineLevel="0" collapsed="false">
      <c r="A23" s="30" t="s">
        <v>162</v>
      </c>
      <c r="B23" s="31" t="s">
        <v>58</v>
      </c>
      <c r="C23" s="31" t="s">
        <v>129</v>
      </c>
      <c r="D23" s="31" t="s">
        <v>163</v>
      </c>
      <c r="E23" s="31" t="s">
        <v>164</v>
      </c>
      <c r="F23" s="11" t="s">
        <v>4</v>
      </c>
      <c r="G23" s="11" t="s">
        <v>132</v>
      </c>
      <c r="H23" s="11" t="s">
        <v>165</v>
      </c>
      <c r="I23" s="11" t="s">
        <v>166</v>
      </c>
      <c r="J23" s="11" t="s">
        <v>65</v>
      </c>
      <c r="K23" s="11" t="s">
        <v>35</v>
      </c>
      <c r="L23" s="11" t="s">
        <v>106</v>
      </c>
      <c r="M23" s="31" t="s">
        <v>133</v>
      </c>
      <c r="N23" s="31" t="s">
        <v>167</v>
      </c>
    </row>
    <row r="24" customFormat="false" ht="27.75" hidden="false" customHeight="true" outlineLevel="0" collapsed="false">
      <c r="A24" s="32" t="s">
        <v>168</v>
      </c>
      <c r="B24" s="33" t="s">
        <v>58</v>
      </c>
      <c r="C24" s="33" t="s">
        <v>129</v>
      </c>
      <c r="D24" s="33" t="s">
        <v>169</v>
      </c>
      <c r="E24" s="33" t="s">
        <v>170</v>
      </c>
      <c r="F24" s="9" t="s">
        <v>6</v>
      </c>
      <c r="G24" s="9" t="s">
        <v>132</v>
      </c>
      <c r="H24" s="9" t="s">
        <v>118</v>
      </c>
      <c r="I24" s="9" t="s">
        <v>99</v>
      </c>
      <c r="J24" s="9" t="s">
        <v>65</v>
      </c>
      <c r="K24" s="9" t="s">
        <v>33</v>
      </c>
      <c r="L24" s="9" t="s">
        <v>66</v>
      </c>
      <c r="M24" s="33" t="s">
        <v>133</v>
      </c>
      <c r="N24" s="33" t="s">
        <v>171</v>
      </c>
    </row>
    <row r="25" customFormat="false" ht="18" hidden="false" customHeight="true" outlineLevel="0" collapsed="false">
      <c r="A25" s="29" t="s">
        <v>172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</row>
    <row r="26" customFormat="false" ht="27.75" hidden="false" customHeight="true" outlineLevel="0" collapsed="false">
      <c r="A26" s="32" t="s">
        <v>173</v>
      </c>
      <c r="B26" s="33" t="s">
        <v>58</v>
      </c>
      <c r="C26" s="33" t="s">
        <v>174</v>
      </c>
      <c r="D26" s="33" t="s">
        <v>175</v>
      </c>
      <c r="E26" s="33" t="s">
        <v>176</v>
      </c>
      <c r="F26" s="9" t="s">
        <v>4</v>
      </c>
      <c r="G26" s="9" t="s">
        <v>62</v>
      </c>
      <c r="H26" s="9" t="s">
        <v>177</v>
      </c>
      <c r="I26" s="9" t="s">
        <v>92</v>
      </c>
      <c r="J26" s="9" t="s">
        <v>65</v>
      </c>
      <c r="K26" s="9" t="s">
        <v>35</v>
      </c>
      <c r="L26" s="9" t="s">
        <v>86</v>
      </c>
      <c r="M26" s="33" t="s">
        <v>178</v>
      </c>
      <c r="N26" s="33" t="s">
        <v>179</v>
      </c>
    </row>
    <row r="27" customFormat="false" ht="27.75" hidden="false" customHeight="true" outlineLevel="0" collapsed="false">
      <c r="A27" s="30" t="s">
        <v>180</v>
      </c>
      <c r="B27" s="31" t="s">
        <v>58</v>
      </c>
      <c r="C27" s="31" t="s">
        <v>174</v>
      </c>
      <c r="D27" s="31" t="s">
        <v>181</v>
      </c>
      <c r="E27" s="31" t="s">
        <v>182</v>
      </c>
      <c r="F27" s="11" t="s">
        <v>4</v>
      </c>
      <c r="G27" s="11" t="s">
        <v>62</v>
      </c>
      <c r="H27" s="11" t="s">
        <v>177</v>
      </c>
      <c r="I27" s="11" t="s">
        <v>92</v>
      </c>
      <c r="J27" s="11" t="s">
        <v>65</v>
      </c>
      <c r="K27" s="11" t="s">
        <v>35</v>
      </c>
      <c r="L27" s="11" t="s">
        <v>86</v>
      </c>
      <c r="M27" s="31" t="s">
        <v>183</v>
      </c>
      <c r="N27" s="31" t="s">
        <v>179</v>
      </c>
    </row>
    <row r="28" customFormat="false" ht="27.75" hidden="false" customHeight="true" outlineLevel="0" collapsed="false">
      <c r="A28" s="32" t="s">
        <v>184</v>
      </c>
      <c r="B28" s="33" t="s">
        <v>58</v>
      </c>
      <c r="C28" s="33" t="s">
        <v>174</v>
      </c>
      <c r="D28" s="33" t="s">
        <v>185</v>
      </c>
      <c r="E28" s="33" t="s">
        <v>186</v>
      </c>
      <c r="F28" s="9" t="s">
        <v>4</v>
      </c>
      <c r="G28" s="9" t="s">
        <v>62</v>
      </c>
      <c r="H28" s="9" t="s">
        <v>142</v>
      </c>
      <c r="I28" s="9" t="s">
        <v>73</v>
      </c>
      <c r="J28" s="9" t="s">
        <v>65</v>
      </c>
      <c r="K28" s="9" t="s">
        <v>37</v>
      </c>
      <c r="L28" s="9" t="s">
        <v>187</v>
      </c>
      <c r="M28" s="33" t="s">
        <v>188</v>
      </c>
      <c r="N28" s="33" t="s">
        <v>189</v>
      </c>
    </row>
    <row r="29" customFormat="false" ht="27.75" hidden="false" customHeight="true" outlineLevel="0" collapsed="false">
      <c r="A29" s="30" t="s">
        <v>190</v>
      </c>
      <c r="B29" s="31" t="s">
        <v>58</v>
      </c>
      <c r="C29" s="31" t="s">
        <v>174</v>
      </c>
      <c r="D29" s="31" t="s">
        <v>191</v>
      </c>
      <c r="E29" s="31" t="s">
        <v>192</v>
      </c>
      <c r="F29" s="11" t="s">
        <v>6</v>
      </c>
      <c r="G29" s="11" t="s">
        <v>62</v>
      </c>
      <c r="H29" s="11" t="s">
        <v>118</v>
      </c>
      <c r="I29" s="11" t="s">
        <v>99</v>
      </c>
      <c r="J29" s="11" t="s">
        <v>65</v>
      </c>
      <c r="K29" s="11" t="s">
        <v>35</v>
      </c>
      <c r="L29" s="11" t="s">
        <v>66</v>
      </c>
      <c r="M29" s="31" t="s">
        <v>188</v>
      </c>
      <c r="N29" s="31" t="s">
        <v>193</v>
      </c>
    </row>
    <row r="30" customFormat="false" ht="27.75" hidden="false" customHeight="true" outlineLevel="0" collapsed="false">
      <c r="A30" s="32" t="s">
        <v>194</v>
      </c>
      <c r="B30" s="33" t="s">
        <v>58</v>
      </c>
      <c r="C30" s="33" t="s">
        <v>174</v>
      </c>
      <c r="D30" s="33" t="s">
        <v>195</v>
      </c>
      <c r="E30" s="33" t="s">
        <v>196</v>
      </c>
      <c r="F30" s="9" t="s">
        <v>6</v>
      </c>
      <c r="G30" s="9" t="s">
        <v>62</v>
      </c>
      <c r="H30" s="9" t="s">
        <v>118</v>
      </c>
      <c r="I30" s="9" t="s">
        <v>99</v>
      </c>
      <c r="J30" s="9" t="s">
        <v>65</v>
      </c>
      <c r="K30" s="9" t="s">
        <v>33</v>
      </c>
      <c r="L30" s="9" t="s">
        <v>66</v>
      </c>
      <c r="M30" s="33" t="s">
        <v>188</v>
      </c>
      <c r="N30" s="33" t="s">
        <v>197</v>
      </c>
    </row>
    <row r="31" customFormat="false" ht="27.75" hidden="false" customHeight="true" outlineLevel="0" collapsed="false">
      <c r="A31" s="30" t="s">
        <v>198</v>
      </c>
      <c r="B31" s="31" t="s">
        <v>58</v>
      </c>
      <c r="C31" s="31" t="s">
        <v>174</v>
      </c>
      <c r="D31" s="31" t="s">
        <v>199</v>
      </c>
      <c r="E31" s="31" t="s">
        <v>200</v>
      </c>
      <c r="F31" s="11" t="s">
        <v>4</v>
      </c>
      <c r="G31" s="11" t="s">
        <v>62</v>
      </c>
      <c r="H31" s="11" t="s">
        <v>201</v>
      </c>
      <c r="I31" s="11" t="s">
        <v>92</v>
      </c>
      <c r="J31" s="11" t="s">
        <v>65</v>
      </c>
      <c r="K31" s="11" t="s">
        <v>37</v>
      </c>
      <c r="L31" s="11" t="s">
        <v>187</v>
      </c>
      <c r="M31" s="31" t="s">
        <v>202</v>
      </c>
      <c r="N31" s="31" t="s">
        <v>203</v>
      </c>
    </row>
    <row r="32" customFormat="false" ht="27.75" hidden="false" customHeight="true" outlineLevel="0" collapsed="false">
      <c r="A32" s="32" t="s">
        <v>204</v>
      </c>
      <c r="B32" s="33" t="s">
        <v>58</v>
      </c>
      <c r="C32" s="33" t="s">
        <v>174</v>
      </c>
      <c r="D32" s="33" t="s">
        <v>205</v>
      </c>
      <c r="E32" s="33" t="s">
        <v>206</v>
      </c>
      <c r="F32" s="9" t="s">
        <v>4</v>
      </c>
      <c r="G32" s="9" t="s">
        <v>62</v>
      </c>
      <c r="H32" s="9" t="s">
        <v>104</v>
      </c>
      <c r="I32" s="9" t="s">
        <v>92</v>
      </c>
      <c r="J32" s="9" t="s">
        <v>98</v>
      </c>
      <c r="K32" s="9" t="s">
        <v>99</v>
      </c>
      <c r="L32" s="9" t="s">
        <v>113</v>
      </c>
      <c r="M32" s="33" t="s">
        <v>207</v>
      </c>
      <c r="N32" s="33" t="s">
        <v>208</v>
      </c>
    </row>
    <row r="33" customFormat="false" ht="18" hidden="false" customHeight="true" outlineLevel="0" collapsed="false">
      <c r="A33" s="29" t="s">
        <v>209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</row>
    <row r="34" customFormat="false" ht="27.75" hidden="false" customHeight="true" outlineLevel="0" collapsed="false">
      <c r="A34" s="32" t="s">
        <v>210</v>
      </c>
      <c r="B34" s="33" t="s">
        <v>58</v>
      </c>
      <c r="C34" s="33" t="s">
        <v>211</v>
      </c>
      <c r="D34" s="33" t="s">
        <v>212</v>
      </c>
      <c r="E34" s="33" t="s">
        <v>213</v>
      </c>
      <c r="F34" s="9" t="s">
        <v>6</v>
      </c>
      <c r="G34" s="9" t="s">
        <v>62</v>
      </c>
      <c r="H34" s="9" t="s">
        <v>118</v>
      </c>
      <c r="I34" s="9" t="s">
        <v>99</v>
      </c>
      <c r="J34" s="9" t="s">
        <v>65</v>
      </c>
      <c r="K34" s="9" t="s">
        <v>35</v>
      </c>
      <c r="L34" s="9" t="s">
        <v>66</v>
      </c>
      <c r="M34" s="33" t="s">
        <v>214</v>
      </c>
      <c r="N34" s="33" t="s">
        <v>215</v>
      </c>
    </row>
    <row r="35" customFormat="false" ht="27.75" hidden="false" customHeight="true" outlineLevel="0" collapsed="false">
      <c r="A35" s="30" t="s">
        <v>216</v>
      </c>
      <c r="B35" s="31" t="s">
        <v>58</v>
      </c>
      <c r="C35" s="31" t="s">
        <v>211</v>
      </c>
      <c r="D35" s="31" t="s">
        <v>217</v>
      </c>
      <c r="E35" s="31" t="s">
        <v>218</v>
      </c>
      <c r="F35" s="11" t="s">
        <v>4</v>
      </c>
      <c r="G35" s="11" t="s">
        <v>62</v>
      </c>
      <c r="H35" s="11" t="s">
        <v>91</v>
      </c>
      <c r="I35" s="11" t="s">
        <v>92</v>
      </c>
      <c r="J35" s="11" t="s">
        <v>65</v>
      </c>
      <c r="K35" s="11" t="s">
        <v>35</v>
      </c>
      <c r="L35" s="11" t="s">
        <v>86</v>
      </c>
      <c r="M35" s="31" t="s">
        <v>214</v>
      </c>
      <c r="N35" s="31" t="s">
        <v>219</v>
      </c>
    </row>
    <row r="36" customFormat="false" ht="27.75" hidden="false" customHeight="true" outlineLevel="0" collapsed="false">
      <c r="A36" s="32" t="s">
        <v>220</v>
      </c>
      <c r="B36" s="33" t="s">
        <v>58</v>
      </c>
      <c r="C36" s="33" t="s">
        <v>211</v>
      </c>
      <c r="D36" s="33" t="s">
        <v>221</v>
      </c>
      <c r="E36" s="33" t="s">
        <v>222</v>
      </c>
      <c r="F36" s="9" t="s">
        <v>4</v>
      </c>
      <c r="G36" s="9" t="s">
        <v>223</v>
      </c>
      <c r="H36" s="9" t="s">
        <v>142</v>
      </c>
      <c r="I36" s="9" t="s">
        <v>105</v>
      </c>
      <c r="J36" s="9" t="s">
        <v>65</v>
      </c>
      <c r="K36" s="9" t="s">
        <v>37</v>
      </c>
      <c r="L36" s="9" t="s">
        <v>113</v>
      </c>
      <c r="M36" s="33" t="s">
        <v>224</v>
      </c>
      <c r="N36" s="33" t="s">
        <v>225</v>
      </c>
    </row>
    <row r="37" customFormat="false" ht="27.75" hidden="false" customHeight="true" outlineLevel="0" collapsed="false">
      <c r="A37" s="30" t="s">
        <v>226</v>
      </c>
      <c r="B37" s="31" t="s">
        <v>58</v>
      </c>
      <c r="C37" s="31" t="s">
        <v>211</v>
      </c>
      <c r="D37" s="31" t="s">
        <v>227</v>
      </c>
      <c r="E37" s="31" t="s">
        <v>228</v>
      </c>
      <c r="F37" s="11" t="s">
        <v>6</v>
      </c>
      <c r="G37" s="11" t="s">
        <v>62</v>
      </c>
      <c r="H37" s="11" t="s">
        <v>229</v>
      </c>
      <c r="I37" s="11" t="s">
        <v>99</v>
      </c>
      <c r="J37" s="11" t="s">
        <v>65</v>
      </c>
      <c r="K37" s="11" t="s">
        <v>33</v>
      </c>
      <c r="L37" s="11" t="s">
        <v>66</v>
      </c>
      <c r="M37" s="31" t="s">
        <v>230</v>
      </c>
      <c r="N37" s="31" t="s">
        <v>231</v>
      </c>
    </row>
    <row r="38" customFormat="false" ht="27.75" hidden="false" customHeight="true" outlineLevel="0" collapsed="false">
      <c r="A38" s="32" t="s">
        <v>232</v>
      </c>
      <c r="B38" s="33" t="s">
        <v>58</v>
      </c>
      <c r="C38" s="33" t="s">
        <v>211</v>
      </c>
      <c r="D38" s="33" t="s">
        <v>233</v>
      </c>
      <c r="E38" s="33" t="s">
        <v>234</v>
      </c>
      <c r="F38" s="9" t="s">
        <v>4</v>
      </c>
      <c r="G38" s="9" t="s">
        <v>62</v>
      </c>
      <c r="H38" s="9" t="s">
        <v>235</v>
      </c>
      <c r="I38" s="9" t="s">
        <v>166</v>
      </c>
      <c r="J38" s="9" t="s">
        <v>65</v>
      </c>
      <c r="K38" s="9" t="s">
        <v>35</v>
      </c>
      <c r="L38" s="9" t="s">
        <v>187</v>
      </c>
      <c r="M38" s="33" t="s">
        <v>214</v>
      </c>
      <c r="N38" s="33" t="s">
        <v>236</v>
      </c>
    </row>
    <row r="39" customFormat="false" ht="27.75" hidden="false" customHeight="true" outlineLevel="0" collapsed="false">
      <c r="A39" s="30" t="s">
        <v>237</v>
      </c>
      <c r="B39" s="31" t="s">
        <v>58</v>
      </c>
      <c r="C39" s="31" t="s">
        <v>211</v>
      </c>
      <c r="D39" s="31" t="s">
        <v>238</v>
      </c>
      <c r="E39" s="31" t="s">
        <v>239</v>
      </c>
      <c r="F39" s="11" t="s">
        <v>4</v>
      </c>
      <c r="G39" s="11" t="s">
        <v>62</v>
      </c>
      <c r="H39" s="11" t="s">
        <v>240</v>
      </c>
      <c r="I39" s="11" t="s">
        <v>241</v>
      </c>
      <c r="J39" s="11" t="s">
        <v>65</v>
      </c>
      <c r="K39" s="11" t="s">
        <v>33</v>
      </c>
      <c r="L39" s="11" t="s">
        <v>187</v>
      </c>
      <c r="M39" s="31" t="s">
        <v>214</v>
      </c>
      <c r="N39" s="31" t="s">
        <v>242</v>
      </c>
    </row>
    <row r="40" customFormat="false" ht="27.75" hidden="false" customHeight="true" outlineLevel="0" collapsed="false">
      <c r="A40" s="32" t="s">
        <v>243</v>
      </c>
      <c r="B40" s="33" t="s">
        <v>58</v>
      </c>
      <c r="C40" s="33" t="s">
        <v>211</v>
      </c>
      <c r="D40" s="33" t="s">
        <v>244</v>
      </c>
      <c r="E40" s="33" t="s">
        <v>245</v>
      </c>
      <c r="F40" s="9" t="s">
        <v>6</v>
      </c>
      <c r="G40" s="9" t="s">
        <v>62</v>
      </c>
      <c r="H40" s="9" t="s">
        <v>118</v>
      </c>
      <c r="I40" s="9" t="s">
        <v>99</v>
      </c>
      <c r="J40" s="9" t="s">
        <v>65</v>
      </c>
      <c r="K40" s="9" t="s">
        <v>33</v>
      </c>
      <c r="L40" s="9" t="s">
        <v>66</v>
      </c>
      <c r="M40" s="33" t="s">
        <v>214</v>
      </c>
      <c r="N40" s="33" t="s">
        <v>246</v>
      </c>
    </row>
    <row r="41" customFormat="false" ht="18" hidden="false" customHeight="true" outlineLevel="0" collapsed="false">
      <c r="A41" s="29" t="s">
        <v>247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</row>
    <row r="42" customFormat="false" ht="27.75" hidden="false" customHeight="true" outlineLevel="0" collapsed="false">
      <c r="A42" s="32" t="s">
        <v>248</v>
      </c>
      <c r="B42" s="33" t="s">
        <v>58</v>
      </c>
      <c r="C42" s="33" t="s">
        <v>249</v>
      </c>
      <c r="D42" s="33" t="s">
        <v>250</v>
      </c>
      <c r="E42" s="33" t="s">
        <v>251</v>
      </c>
      <c r="F42" s="9" t="s">
        <v>8</v>
      </c>
      <c r="G42" s="9" t="s">
        <v>252</v>
      </c>
      <c r="H42" s="9" t="s">
        <v>253</v>
      </c>
      <c r="I42" s="9" t="s">
        <v>92</v>
      </c>
      <c r="J42" s="9" t="s">
        <v>65</v>
      </c>
      <c r="K42" s="9" t="s">
        <v>35</v>
      </c>
      <c r="L42" s="9" t="s">
        <v>86</v>
      </c>
      <c r="M42" s="33" t="s">
        <v>99</v>
      </c>
      <c r="N42" s="33" t="s">
        <v>254</v>
      </c>
    </row>
    <row r="43" customFormat="false" ht="27.75" hidden="false" customHeight="true" outlineLevel="0" collapsed="false">
      <c r="A43" s="30" t="s">
        <v>255</v>
      </c>
      <c r="B43" s="31" t="s">
        <v>58</v>
      </c>
      <c r="C43" s="31" t="s">
        <v>249</v>
      </c>
      <c r="D43" s="31" t="s">
        <v>256</v>
      </c>
      <c r="E43" s="31" t="s">
        <v>257</v>
      </c>
      <c r="F43" s="11" t="s">
        <v>8</v>
      </c>
      <c r="G43" s="11" t="s">
        <v>252</v>
      </c>
      <c r="H43" s="11" t="s">
        <v>91</v>
      </c>
      <c r="I43" s="11" t="s">
        <v>92</v>
      </c>
      <c r="J43" s="11" t="s">
        <v>98</v>
      </c>
      <c r="K43" s="11" t="s">
        <v>99</v>
      </c>
      <c r="L43" s="11" t="s">
        <v>86</v>
      </c>
      <c r="M43" s="31" t="s">
        <v>99</v>
      </c>
      <c r="N43" s="31" t="s">
        <v>258</v>
      </c>
    </row>
    <row r="44" customFormat="false" ht="27.75" hidden="false" customHeight="true" outlineLevel="0" collapsed="false">
      <c r="A44" s="32" t="s">
        <v>259</v>
      </c>
      <c r="B44" s="33" t="s">
        <v>58</v>
      </c>
      <c r="C44" s="33" t="s">
        <v>249</v>
      </c>
      <c r="D44" s="33" t="s">
        <v>260</v>
      </c>
      <c r="E44" s="33" t="s">
        <v>261</v>
      </c>
      <c r="F44" s="9" t="s">
        <v>8</v>
      </c>
      <c r="G44" s="9" t="s">
        <v>252</v>
      </c>
      <c r="H44" s="9" t="s">
        <v>262</v>
      </c>
      <c r="I44" s="9" t="s">
        <v>263</v>
      </c>
      <c r="J44" s="9" t="s">
        <v>65</v>
      </c>
      <c r="K44" s="9" t="s">
        <v>37</v>
      </c>
      <c r="L44" s="9" t="s">
        <v>113</v>
      </c>
      <c r="M44" s="33" t="s">
        <v>99</v>
      </c>
      <c r="N44" s="33" t="s">
        <v>264</v>
      </c>
    </row>
    <row r="45" customFormat="false" ht="27.75" hidden="false" customHeight="true" outlineLevel="0" collapsed="false">
      <c r="A45" s="30" t="s">
        <v>265</v>
      </c>
      <c r="B45" s="31" t="s">
        <v>58</v>
      </c>
      <c r="C45" s="31" t="s">
        <v>249</v>
      </c>
      <c r="D45" s="31" t="s">
        <v>266</v>
      </c>
      <c r="E45" s="31" t="s">
        <v>267</v>
      </c>
      <c r="F45" s="11" t="s">
        <v>8</v>
      </c>
      <c r="G45" s="11" t="s">
        <v>252</v>
      </c>
      <c r="H45" s="11" t="s">
        <v>142</v>
      </c>
      <c r="I45" s="11" t="s">
        <v>105</v>
      </c>
      <c r="J45" s="11" t="s">
        <v>65</v>
      </c>
      <c r="K45" s="11" t="s">
        <v>37</v>
      </c>
      <c r="L45" s="11" t="s">
        <v>106</v>
      </c>
      <c r="M45" s="31" t="s">
        <v>99</v>
      </c>
      <c r="N45" s="31" t="s">
        <v>268</v>
      </c>
    </row>
    <row r="46" customFormat="false" ht="27.75" hidden="false" customHeight="true" outlineLevel="0" collapsed="false">
      <c r="A46" s="32" t="s">
        <v>269</v>
      </c>
      <c r="B46" s="33" t="s">
        <v>58</v>
      </c>
      <c r="C46" s="33" t="s">
        <v>249</v>
      </c>
      <c r="D46" s="33" t="s">
        <v>270</v>
      </c>
      <c r="E46" s="33" t="s">
        <v>271</v>
      </c>
      <c r="F46" s="9" t="s">
        <v>8</v>
      </c>
      <c r="G46" s="9" t="s">
        <v>252</v>
      </c>
      <c r="H46" s="9" t="s">
        <v>123</v>
      </c>
      <c r="I46" s="9" t="s">
        <v>92</v>
      </c>
      <c r="J46" s="9" t="s">
        <v>65</v>
      </c>
      <c r="K46" s="9" t="s">
        <v>37</v>
      </c>
      <c r="L46" s="9" t="s">
        <v>113</v>
      </c>
      <c r="M46" s="33" t="s">
        <v>99</v>
      </c>
      <c r="N46" s="33" t="s">
        <v>272</v>
      </c>
    </row>
    <row r="47" customFormat="false" ht="21.75" hidden="false" customHeight="true" outlineLevel="0" collapsed="false">
      <c r="A47" s="28" t="s">
        <v>273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  <row r="48" customFormat="false" ht="18" hidden="false" customHeight="true" outlineLevel="0" collapsed="false">
      <c r="A48" s="29" t="s">
        <v>274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</row>
    <row r="49" customFormat="false" ht="27.75" hidden="false" customHeight="true" outlineLevel="0" collapsed="false">
      <c r="A49" s="30" t="s">
        <v>275</v>
      </c>
      <c r="B49" s="31" t="s">
        <v>276</v>
      </c>
      <c r="C49" s="31" t="s">
        <v>277</v>
      </c>
      <c r="D49" s="31" t="s">
        <v>278</v>
      </c>
      <c r="E49" s="31" t="s">
        <v>279</v>
      </c>
      <c r="F49" s="11" t="s">
        <v>6</v>
      </c>
      <c r="G49" s="11" t="s">
        <v>280</v>
      </c>
      <c r="H49" s="11" t="s">
        <v>118</v>
      </c>
      <c r="I49" s="11" t="s">
        <v>99</v>
      </c>
      <c r="J49" s="11" t="s">
        <v>65</v>
      </c>
      <c r="K49" s="11" t="s">
        <v>35</v>
      </c>
      <c r="L49" s="11" t="s">
        <v>66</v>
      </c>
      <c r="M49" s="31" t="s">
        <v>281</v>
      </c>
      <c r="N49" s="31" t="s">
        <v>282</v>
      </c>
    </row>
    <row r="50" customFormat="false" ht="27.75" hidden="false" customHeight="true" outlineLevel="0" collapsed="false">
      <c r="A50" s="32" t="s">
        <v>283</v>
      </c>
      <c r="B50" s="33" t="s">
        <v>276</v>
      </c>
      <c r="C50" s="33" t="s">
        <v>277</v>
      </c>
      <c r="D50" s="33" t="s">
        <v>284</v>
      </c>
      <c r="E50" s="33" t="s">
        <v>285</v>
      </c>
      <c r="F50" s="9" t="s">
        <v>6</v>
      </c>
      <c r="G50" s="9" t="s">
        <v>286</v>
      </c>
      <c r="H50" s="9" t="s">
        <v>287</v>
      </c>
      <c r="I50" s="9" t="s">
        <v>99</v>
      </c>
      <c r="J50" s="9" t="s">
        <v>98</v>
      </c>
      <c r="K50" s="9" t="s">
        <v>99</v>
      </c>
      <c r="L50" s="9" t="s">
        <v>287</v>
      </c>
      <c r="M50" s="33" t="s">
        <v>288</v>
      </c>
      <c r="N50" s="33" t="s">
        <v>289</v>
      </c>
    </row>
    <row r="51" customFormat="false" ht="27.75" hidden="false" customHeight="true" outlineLevel="0" collapsed="false">
      <c r="A51" s="30" t="s">
        <v>290</v>
      </c>
      <c r="B51" s="31" t="s">
        <v>276</v>
      </c>
      <c r="C51" s="31" t="s">
        <v>277</v>
      </c>
      <c r="D51" s="31" t="s">
        <v>291</v>
      </c>
      <c r="E51" s="31" t="s">
        <v>292</v>
      </c>
      <c r="F51" s="11" t="s">
        <v>6</v>
      </c>
      <c r="G51" s="11" t="s">
        <v>280</v>
      </c>
      <c r="H51" s="11" t="s">
        <v>118</v>
      </c>
      <c r="I51" s="11" t="s">
        <v>99</v>
      </c>
      <c r="J51" s="11" t="s">
        <v>98</v>
      </c>
      <c r="K51" s="11" t="s">
        <v>99</v>
      </c>
      <c r="L51" s="11" t="s">
        <v>287</v>
      </c>
      <c r="M51" s="31" t="s">
        <v>293</v>
      </c>
      <c r="N51" s="31" t="s">
        <v>294</v>
      </c>
    </row>
    <row r="52" customFormat="false" ht="27.75" hidden="false" customHeight="true" outlineLevel="0" collapsed="false">
      <c r="A52" s="32" t="s">
        <v>295</v>
      </c>
      <c r="B52" s="33" t="s">
        <v>276</v>
      </c>
      <c r="C52" s="33" t="s">
        <v>277</v>
      </c>
      <c r="D52" s="33" t="s">
        <v>296</v>
      </c>
      <c r="E52" s="33" t="s">
        <v>297</v>
      </c>
      <c r="F52" s="9" t="s">
        <v>6</v>
      </c>
      <c r="G52" s="9" t="s">
        <v>280</v>
      </c>
      <c r="H52" s="9" t="s">
        <v>118</v>
      </c>
      <c r="I52" s="9" t="s">
        <v>99</v>
      </c>
      <c r="J52" s="9" t="s">
        <v>65</v>
      </c>
      <c r="K52" s="9" t="s">
        <v>35</v>
      </c>
      <c r="L52" s="9" t="s">
        <v>66</v>
      </c>
      <c r="M52" s="33" t="s">
        <v>298</v>
      </c>
      <c r="N52" s="33" t="s">
        <v>299</v>
      </c>
    </row>
    <row r="53" customFormat="false" ht="27.75" hidden="false" customHeight="true" outlineLevel="0" collapsed="false">
      <c r="A53" s="30" t="s">
        <v>300</v>
      </c>
      <c r="B53" s="31" t="s">
        <v>276</v>
      </c>
      <c r="C53" s="31" t="s">
        <v>277</v>
      </c>
      <c r="D53" s="31" t="s">
        <v>301</v>
      </c>
      <c r="E53" s="31" t="s">
        <v>302</v>
      </c>
      <c r="F53" s="11" t="s">
        <v>6</v>
      </c>
      <c r="G53" s="11" t="s">
        <v>286</v>
      </c>
      <c r="H53" s="11" t="s">
        <v>287</v>
      </c>
      <c r="I53" s="11" t="s">
        <v>99</v>
      </c>
      <c r="J53" s="11" t="s">
        <v>98</v>
      </c>
      <c r="K53" s="11" t="s">
        <v>99</v>
      </c>
      <c r="L53" s="11" t="s">
        <v>287</v>
      </c>
      <c r="M53" s="31" t="s">
        <v>303</v>
      </c>
      <c r="N53" s="31" t="s">
        <v>304</v>
      </c>
    </row>
    <row r="54" customFormat="false" ht="27.75" hidden="false" customHeight="true" outlineLevel="0" collapsed="false">
      <c r="A54" s="32" t="s">
        <v>305</v>
      </c>
      <c r="B54" s="33" t="s">
        <v>276</v>
      </c>
      <c r="C54" s="33" t="s">
        <v>277</v>
      </c>
      <c r="D54" s="33" t="s">
        <v>306</v>
      </c>
      <c r="E54" s="33" t="s">
        <v>307</v>
      </c>
      <c r="F54" s="9" t="s">
        <v>6</v>
      </c>
      <c r="G54" s="9" t="s">
        <v>280</v>
      </c>
      <c r="H54" s="9" t="s">
        <v>118</v>
      </c>
      <c r="I54" s="9" t="s">
        <v>99</v>
      </c>
      <c r="J54" s="9" t="s">
        <v>65</v>
      </c>
      <c r="K54" s="9" t="s">
        <v>33</v>
      </c>
      <c r="L54" s="9" t="s">
        <v>66</v>
      </c>
      <c r="M54" s="33" t="s">
        <v>308</v>
      </c>
      <c r="N54" s="33" t="s">
        <v>309</v>
      </c>
    </row>
    <row r="55" customFormat="false" ht="27.75" hidden="false" customHeight="true" outlineLevel="0" collapsed="false">
      <c r="A55" s="30" t="s">
        <v>310</v>
      </c>
      <c r="B55" s="31" t="s">
        <v>276</v>
      </c>
      <c r="C55" s="31" t="s">
        <v>277</v>
      </c>
      <c r="D55" s="31" t="s">
        <v>311</v>
      </c>
      <c r="E55" s="31" t="s">
        <v>312</v>
      </c>
      <c r="F55" s="11" t="s">
        <v>6</v>
      </c>
      <c r="G55" s="11" t="s">
        <v>286</v>
      </c>
      <c r="H55" s="11" t="s">
        <v>118</v>
      </c>
      <c r="I55" s="11" t="s">
        <v>99</v>
      </c>
      <c r="J55" s="11" t="s">
        <v>65</v>
      </c>
      <c r="K55" s="11" t="s">
        <v>37</v>
      </c>
      <c r="L55" s="11" t="s">
        <v>86</v>
      </c>
      <c r="M55" s="31" t="s">
        <v>313</v>
      </c>
      <c r="N55" s="31" t="s">
        <v>314</v>
      </c>
    </row>
    <row r="56" customFormat="false" ht="27.75" hidden="false" customHeight="true" outlineLevel="0" collapsed="false">
      <c r="A56" s="32" t="s">
        <v>315</v>
      </c>
      <c r="B56" s="33" t="s">
        <v>276</v>
      </c>
      <c r="C56" s="33" t="s">
        <v>277</v>
      </c>
      <c r="D56" s="33" t="s">
        <v>316</v>
      </c>
      <c r="E56" s="33" t="s">
        <v>317</v>
      </c>
      <c r="F56" s="9" t="s">
        <v>7</v>
      </c>
      <c r="G56" s="9" t="s">
        <v>280</v>
      </c>
      <c r="H56" s="9" t="s">
        <v>118</v>
      </c>
      <c r="I56" s="9" t="s">
        <v>99</v>
      </c>
      <c r="J56" s="9" t="s">
        <v>98</v>
      </c>
      <c r="K56" s="9" t="s">
        <v>99</v>
      </c>
      <c r="L56" s="9" t="s">
        <v>287</v>
      </c>
      <c r="M56" s="33" t="s">
        <v>318</v>
      </c>
      <c r="N56" s="33" t="s">
        <v>319</v>
      </c>
    </row>
    <row r="57" customFormat="false" ht="27.75" hidden="false" customHeight="true" outlineLevel="0" collapsed="false">
      <c r="A57" s="30" t="s">
        <v>320</v>
      </c>
      <c r="B57" s="31" t="s">
        <v>276</v>
      </c>
      <c r="C57" s="31" t="s">
        <v>277</v>
      </c>
      <c r="D57" s="31" t="s">
        <v>321</v>
      </c>
      <c r="E57" s="31" t="s">
        <v>322</v>
      </c>
      <c r="F57" s="11" t="s">
        <v>7</v>
      </c>
      <c r="G57" s="11" t="s">
        <v>280</v>
      </c>
      <c r="H57" s="11" t="s">
        <v>118</v>
      </c>
      <c r="I57" s="11" t="s">
        <v>99</v>
      </c>
      <c r="J57" s="11" t="s">
        <v>98</v>
      </c>
      <c r="K57" s="11" t="s">
        <v>99</v>
      </c>
      <c r="L57" s="11" t="s">
        <v>287</v>
      </c>
      <c r="M57" s="31" t="s">
        <v>323</v>
      </c>
      <c r="N57" s="31" t="s">
        <v>324</v>
      </c>
    </row>
    <row r="58" customFormat="false" ht="18" hidden="false" customHeight="true" outlineLevel="0" collapsed="false">
      <c r="A58" s="29" t="s">
        <v>325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</row>
    <row r="59" customFormat="false" ht="27.75" hidden="false" customHeight="true" outlineLevel="0" collapsed="false">
      <c r="A59" s="30" t="s">
        <v>326</v>
      </c>
      <c r="B59" s="31" t="s">
        <v>276</v>
      </c>
      <c r="C59" s="31" t="s">
        <v>327</v>
      </c>
      <c r="D59" s="31" t="s">
        <v>328</v>
      </c>
      <c r="E59" s="31" t="s">
        <v>329</v>
      </c>
      <c r="F59" s="11" t="s">
        <v>6</v>
      </c>
      <c r="G59" s="11" t="s">
        <v>330</v>
      </c>
      <c r="H59" s="11" t="s">
        <v>118</v>
      </c>
      <c r="I59" s="11" t="s">
        <v>99</v>
      </c>
      <c r="J59" s="11" t="s">
        <v>65</v>
      </c>
      <c r="K59" s="11" t="s">
        <v>37</v>
      </c>
      <c r="L59" s="11" t="s">
        <v>106</v>
      </c>
      <c r="M59" s="31" t="s">
        <v>331</v>
      </c>
      <c r="N59" s="31" t="s">
        <v>332</v>
      </c>
    </row>
    <row r="60" customFormat="false" ht="27.75" hidden="false" customHeight="true" outlineLevel="0" collapsed="false">
      <c r="A60" s="32" t="s">
        <v>333</v>
      </c>
      <c r="B60" s="33" t="s">
        <v>276</v>
      </c>
      <c r="C60" s="33" t="s">
        <v>327</v>
      </c>
      <c r="D60" s="33" t="s">
        <v>334</v>
      </c>
      <c r="E60" s="33" t="s">
        <v>335</v>
      </c>
      <c r="F60" s="9" t="s">
        <v>6</v>
      </c>
      <c r="G60" s="9" t="s">
        <v>330</v>
      </c>
      <c r="H60" s="9" t="s">
        <v>118</v>
      </c>
      <c r="I60" s="9" t="s">
        <v>99</v>
      </c>
      <c r="J60" s="9" t="s">
        <v>65</v>
      </c>
      <c r="K60" s="9" t="s">
        <v>37</v>
      </c>
      <c r="L60" s="9" t="s">
        <v>106</v>
      </c>
      <c r="M60" s="33" t="s">
        <v>336</v>
      </c>
      <c r="N60" s="33" t="s">
        <v>337</v>
      </c>
    </row>
    <row r="61" customFormat="false" ht="27.75" hidden="false" customHeight="true" outlineLevel="0" collapsed="false">
      <c r="A61" s="30" t="s">
        <v>338</v>
      </c>
      <c r="B61" s="31" t="s">
        <v>276</v>
      </c>
      <c r="C61" s="31" t="s">
        <v>327</v>
      </c>
      <c r="D61" s="31" t="s">
        <v>339</v>
      </c>
      <c r="E61" s="31" t="s">
        <v>340</v>
      </c>
      <c r="F61" s="11" t="s">
        <v>6</v>
      </c>
      <c r="G61" s="11" t="s">
        <v>330</v>
      </c>
      <c r="H61" s="11" t="s">
        <v>118</v>
      </c>
      <c r="I61" s="11" t="s">
        <v>99</v>
      </c>
      <c r="J61" s="11" t="s">
        <v>65</v>
      </c>
      <c r="K61" s="11" t="s">
        <v>37</v>
      </c>
      <c r="L61" s="11" t="s">
        <v>106</v>
      </c>
      <c r="M61" s="31" t="s">
        <v>341</v>
      </c>
      <c r="N61" s="31" t="s">
        <v>342</v>
      </c>
    </row>
    <row r="62" customFormat="false" ht="27.75" hidden="false" customHeight="true" outlineLevel="0" collapsed="false">
      <c r="A62" s="32" t="s">
        <v>343</v>
      </c>
      <c r="B62" s="33" t="s">
        <v>276</v>
      </c>
      <c r="C62" s="33" t="s">
        <v>327</v>
      </c>
      <c r="D62" s="33" t="s">
        <v>344</v>
      </c>
      <c r="E62" s="33" t="s">
        <v>345</v>
      </c>
      <c r="F62" s="9" t="s">
        <v>6</v>
      </c>
      <c r="G62" s="9" t="s">
        <v>330</v>
      </c>
      <c r="H62" s="9" t="s">
        <v>118</v>
      </c>
      <c r="I62" s="9" t="s">
        <v>99</v>
      </c>
      <c r="J62" s="9" t="s">
        <v>65</v>
      </c>
      <c r="K62" s="9" t="s">
        <v>39</v>
      </c>
      <c r="L62" s="9" t="s">
        <v>113</v>
      </c>
      <c r="M62" s="33" t="s">
        <v>346</v>
      </c>
      <c r="N62" s="33" t="s">
        <v>347</v>
      </c>
    </row>
    <row r="63" customFormat="false" ht="27.75" hidden="false" customHeight="true" outlineLevel="0" collapsed="false">
      <c r="A63" s="30" t="s">
        <v>348</v>
      </c>
      <c r="B63" s="31" t="s">
        <v>276</v>
      </c>
      <c r="C63" s="31" t="s">
        <v>327</v>
      </c>
      <c r="D63" s="31" t="s">
        <v>349</v>
      </c>
      <c r="E63" s="31" t="s">
        <v>350</v>
      </c>
      <c r="F63" s="11" t="s">
        <v>4</v>
      </c>
      <c r="G63" s="11" t="s">
        <v>351</v>
      </c>
      <c r="H63" s="11" t="s">
        <v>142</v>
      </c>
      <c r="I63" s="11" t="s">
        <v>105</v>
      </c>
      <c r="J63" s="11" t="s">
        <v>65</v>
      </c>
      <c r="K63" s="11" t="s">
        <v>37</v>
      </c>
      <c r="L63" s="11" t="s">
        <v>352</v>
      </c>
      <c r="M63" s="31" t="s">
        <v>353</v>
      </c>
      <c r="N63" s="31" t="s">
        <v>354</v>
      </c>
    </row>
    <row r="64" customFormat="false" ht="27.75" hidden="false" customHeight="true" outlineLevel="0" collapsed="false">
      <c r="A64" s="32" t="s">
        <v>355</v>
      </c>
      <c r="B64" s="33" t="s">
        <v>276</v>
      </c>
      <c r="C64" s="33" t="s">
        <v>327</v>
      </c>
      <c r="D64" s="33" t="s">
        <v>356</v>
      </c>
      <c r="E64" s="33" t="s">
        <v>357</v>
      </c>
      <c r="F64" s="9" t="s">
        <v>6</v>
      </c>
      <c r="G64" s="9" t="s">
        <v>330</v>
      </c>
      <c r="H64" s="9" t="s">
        <v>287</v>
      </c>
      <c r="I64" s="9" t="s">
        <v>99</v>
      </c>
      <c r="J64" s="9" t="s">
        <v>65</v>
      </c>
      <c r="K64" s="9" t="s">
        <v>37</v>
      </c>
      <c r="L64" s="9" t="s">
        <v>287</v>
      </c>
      <c r="M64" s="33" t="s">
        <v>358</v>
      </c>
      <c r="N64" s="33" t="s">
        <v>359</v>
      </c>
    </row>
    <row r="65" customFormat="false" ht="18" hidden="false" customHeight="true" outlineLevel="0" collapsed="false">
      <c r="A65" s="29" t="s">
        <v>360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</row>
    <row r="66" customFormat="false" ht="27.75" hidden="false" customHeight="true" outlineLevel="0" collapsed="false">
      <c r="A66" s="32" t="s">
        <v>361</v>
      </c>
      <c r="B66" s="33" t="s">
        <v>276</v>
      </c>
      <c r="C66" s="33" t="s">
        <v>362</v>
      </c>
      <c r="D66" s="33" t="s">
        <v>363</v>
      </c>
      <c r="E66" s="33" t="s">
        <v>364</v>
      </c>
      <c r="F66" s="9" t="s">
        <v>6</v>
      </c>
      <c r="G66" s="9" t="s">
        <v>280</v>
      </c>
      <c r="H66" s="9" t="s">
        <v>118</v>
      </c>
      <c r="I66" s="9" t="s">
        <v>99</v>
      </c>
      <c r="J66" s="9" t="s">
        <v>65</v>
      </c>
      <c r="K66" s="9" t="s">
        <v>35</v>
      </c>
      <c r="L66" s="9" t="s">
        <v>66</v>
      </c>
      <c r="M66" s="33" t="s">
        <v>365</v>
      </c>
      <c r="N66" s="33" t="s">
        <v>366</v>
      </c>
    </row>
    <row r="67" customFormat="false" ht="27.75" hidden="false" customHeight="true" outlineLevel="0" collapsed="false">
      <c r="A67" s="30" t="s">
        <v>367</v>
      </c>
      <c r="B67" s="31" t="s">
        <v>276</v>
      </c>
      <c r="C67" s="31" t="s">
        <v>362</v>
      </c>
      <c r="D67" s="31" t="s">
        <v>368</v>
      </c>
      <c r="E67" s="31" t="s">
        <v>369</v>
      </c>
      <c r="F67" s="11" t="s">
        <v>6</v>
      </c>
      <c r="G67" s="11" t="s">
        <v>280</v>
      </c>
      <c r="H67" s="11" t="s">
        <v>118</v>
      </c>
      <c r="I67" s="11" t="s">
        <v>99</v>
      </c>
      <c r="J67" s="11" t="s">
        <v>65</v>
      </c>
      <c r="K67" s="11" t="s">
        <v>35</v>
      </c>
      <c r="L67" s="11" t="s">
        <v>66</v>
      </c>
      <c r="M67" s="31" t="s">
        <v>370</v>
      </c>
      <c r="N67" s="31" t="s">
        <v>371</v>
      </c>
    </row>
    <row r="68" customFormat="false" ht="27.75" hidden="false" customHeight="true" outlineLevel="0" collapsed="false">
      <c r="A68" s="32" t="s">
        <v>372</v>
      </c>
      <c r="B68" s="33" t="s">
        <v>276</v>
      </c>
      <c r="C68" s="33" t="s">
        <v>362</v>
      </c>
      <c r="D68" s="33" t="s">
        <v>373</v>
      </c>
      <c r="E68" s="33" t="s">
        <v>374</v>
      </c>
      <c r="F68" s="9" t="s">
        <v>6</v>
      </c>
      <c r="G68" s="9" t="s">
        <v>280</v>
      </c>
      <c r="H68" s="9" t="s">
        <v>118</v>
      </c>
      <c r="I68" s="9" t="s">
        <v>99</v>
      </c>
      <c r="J68" s="9" t="s">
        <v>65</v>
      </c>
      <c r="K68" s="9" t="s">
        <v>33</v>
      </c>
      <c r="L68" s="9" t="s">
        <v>66</v>
      </c>
      <c r="M68" s="33" t="s">
        <v>375</v>
      </c>
      <c r="N68" s="33" t="s">
        <v>376</v>
      </c>
    </row>
    <row r="69" customFormat="false" ht="27.75" hidden="false" customHeight="true" outlineLevel="0" collapsed="false">
      <c r="A69" s="30" t="s">
        <v>377</v>
      </c>
      <c r="B69" s="31" t="s">
        <v>276</v>
      </c>
      <c r="C69" s="31" t="s">
        <v>362</v>
      </c>
      <c r="D69" s="31" t="s">
        <v>378</v>
      </c>
      <c r="E69" s="31" t="s">
        <v>379</v>
      </c>
      <c r="F69" s="11" t="s">
        <v>6</v>
      </c>
      <c r="G69" s="11" t="s">
        <v>280</v>
      </c>
      <c r="H69" s="11" t="s">
        <v>118</v>
      </c>
      <c r="I69" s="11" t="s">
        <v>99</v>
      </c>
      <c r="J69" s="11" t="s">
        <v>65</v>
      </c>
      <c r="K69" s="11" t="s">
        <v>35</v>
      </c>
      <c r="L69" s="11" t="s">
        <v>86</v>
      </c>
      <c r="M69" s="31" t="s">
        <v>380</v>
      </c>
      <c r="N69" s="31" t="s">
        <v>381</v>
      </c>
    </row>
    <row r="70" customFormat="false" ht="27.75" hidden="false" customHeight="true" outlineLevel="0" collapsed="false">
      <c r="A70" s="32" t="s">
        <v>382</v>
      </c>
      <c r="B70" s="33" t="s">
        <v>276</v>
      </c>
      <c r="C70" s="33" t="s">
        <v>362</v>
      </c>
      <c r="D70" s="33" t="s">
        <v>383</v>
      </c>
      <c r="E70" s="33" t="s">
        <v>384</v>
      </c>
      <c r="F70" s="9" t="s">
        <v>6</v>
      </c>
      <c r="G70" s="9" t="s">
        <v>385</v>
      </c>
      <c r="H70" s="9" t="s">
        <v>118</v>
      </c>
      <c r="I70" s="9" t="s">
        <v>99</v>
      </c>
      <c r="J70" s="9" t="s">
        <v>98</v>
      </c>
      <c r="K70" s="9" t="s">
        <v>99</v>
      </c>
      <c r="L70" s="9" t="s">
        <v>86</v>
      </c>
      <c r="M70" s="33" t="s">
        <v>380</v>
      </c>
      <c r="N70" s="33" t="s">
        <v>386</v>
      </c>
    </row>
    <row r="71" customFormat="false" ht="27.75" hidden="false" customHeight="true" outlineLevel="0" collapsed="false">
      <c r="A71" s="30" t="s">
        <v>387</v>
      </c>
      <c r="B71" s="31" t="s">
        <v>276</v>
      </c>
      <c r="C71" s="31" t="s">
        <v>249</v>
      </c>
      <c r="D71" s="31" t="s">
        <v>388</v>
      </c>
      <c r="E71" s="31" t="s">
        <v>389</v>
      </c>
      <c r="F71" s="11" t="s">
        <v>8</v>
      </c>
      <c r="G71" s="11" t="s">
        <v>252</v>
      </c>
      <c r="H71" s="11" t="s">
        <v>390</v>
      </c>
      <c r="I71" s="11" t="s">
        <v>391</v>
      </c>
      <c r="J71" s="11" t="s">
        <v>65</v>
      </c>
      <c r="K71" s="11" t="s">
        <v>39</v>
      </c>
      <c r="L71" s="11" t="s">
        <v>287</v>
      </c>
      <c r="M71" s="31" t="s">
        <v>99</v>
      </c>
      <c r="N71" s="31" t="s">
        <v>392</v>
      </c>
    </row>
    <row r="72" customFormat="false" ht="27.75" hidden="false" customHeight="true" outlineLevel="0" collapsed="false">
      <c r="A72" s="32" t="s">
        <v>393</v>
      </c>
      <c r="B72" s="33" t="s">
        <v>276</v>
      </c>
      <c r="C72" s="33" t="s">
        <v>249</v>
      </c>
      <c r="D72" s="33" t="s">
        <v>394</v>
      </c>
      <c r="E72" s="33" t="s">
        <v>395</v>
      </c>
      <c r="F72" s="9" t="s">
        <v>8</v>
      </c>
      <c r="G72" s="9" t="s">
        <v>252</v>
      </c>
      <c r="H72" s="9" t="s">
        <v>396</v>
      </c>
      <c r="I72" s="9" t="s">
        <v>391</v>
      </c>
      <c r="J72" s="9" t="s">
        <v>65</v>
      </c>
      <c r="K72" s="9" t="s">
        <v>39</v>
      </c>
      <c r="L72" s="9" t="s">
        <v>287</v>
      </c>
      <c r="M72" s="33" t="s">
        <v>99</v>
      </c>
      <c r="N72" s="33" t="s">
        <v>397</v>
      </c>
    </row>
    <row r="73" customFormat="false" ht="21.75" hidden="false" customHeight="true" outlineLevel="0" collapsed="false">
      <c r="A73" s="28" t="s">
        <v>398</v>
      </c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</row>
    <row r="74" customFormat="false" ht="18" hidden="false" customHeight="true" outlineLevel="0" collapsed="false">
      <c r="A74" s="29" t="s">
        <v>399</v>
      </c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</row>
    <row r="75" customFormat="false" ht="27.75" hidden="false" customHeight="true" outlineLevel="0" collapsed="false">
      <c r="A75" s="30" t="s">
        <v>400</v>
      </c>
      <c r="B75" s="31" t="s">
        <v>401</v>
      </c>
      <c r="C75" s="31" t="s">
        <v>402</v>
      </c>
      <c r="D75" s="31" t="s">
        <v>403</v>
      </c>
      <c r="E75" s="31" t="s">
        <v>404</v>
      </c>
      <c r="F75" s="11" t="s">
        <v>4</v>
      </c>
      <c r="G75" s="11" t="s">
        <v>405</v>
      </c>
      <c r="H75" s="11" t="s">
        <v>406</v>
      </c>
      <c r="I75" s="11" t="s">
        <v>166</v>
      </c>
      <c r="J75" s="11" t="s">
        <v>65</v>
      </c>
      <c r="K75" s="11" t="s">
        <v>35</v>
      </c>
      <c r="L75" s="11" t="s">
        <v>187</v>
      </c>
      <c r="M75" s="31" t="s">
        <v>407</v>
      </c>
      <c r="N75" s="31" t="s">
        <v>408</v>
      </c>
    </row>
    <row r="76" customFormat="false" ht="27.75" hidden="false" customHeight="true" outlineLevel="0" collapsed="false">
      <c r="A76" s="32" t="s">
        <v>409</v>
      </c>
      <c r="B76" s="33" t="s">
        <v>401</v>
      </c>
      <c r="C76" s="33" t="s">
        <v>402</v>
      </c>
      <c r="D76" s="33" t="s">
        <v>410</v>
      </c>
      <c r="E76" s="33" t="s">
        <v>411</v>
      </c>
      <c r="F76" s="9" t="s">
        <v>4</v>
      </c>
      <c r="G76" s="9" t="s">
        <v>405</v>
      </c>
      <c r="H76" s="9" t="s">
        <v>412</v>
      </c>
      <c r="I76" s="9" t="s">
        <v>166</v>
      </c>
      <c r="J76" s="9" t="s">
        <v>65</v>
      </c>
      <c r="K76" s="9" t="s">
        <v>37</v>
      </c>
      <c r="L76" s="9" t="s">
        <v>187</v>
      </c>
      <c r="M76" s="33" t="s">
        <v>413</v>
      </c>
      <c r="N76" s="33" t="s">
        <v>414</v>
      </c>
    </row>
    <row r="77" customFormat="false" ht="27.75" hidden="false" customHeight="true" outlineLevel="0" collapsed="false">
      <c r="A77" s="30" t="s">
        <v>415</v>
      </c>
      <c r="B77" s="31" t="s">
        <v>401</v>
      </c>
      <c r="C77" s="31" t="s">
        <v>402</v>
      </c>
      <c r="D77" s="31" t="s">
        <v>416</v>
      </c>
      <c r="E77" s="31" t="s">
        <v>417</v>
      </c>
      <c r="F77" s="11" t="s">
        <v>4</v>
      </c>
      <c r="G77" s="11" t="s">
        <v>418</v>
      </c>
      <c r="H77" s="11" t="s">
        <v>406</v>
      </c>
      <c r="I77" s="11" t="s">
        <v>166</v>
      </c>
      <c r="J77" s="11" t="s">
        <v>65</v>
      </c>
      <c r="K77" s="11" t="s">
        <v>35</v>
      </c>
      <c r="L77" s="11" t="s">
        <v>106</v>
      </c>
      <c r="M77" s="31" t="s">
        <v>419</v>
      </c>
      <c r="N77" s="31" t="s">
        <v>420</v>
      </c>
    </row>
    <row r="78" customFormat="false" ht="27.75" hidden="false" customHeight="true" outlineLevel="0" collapsed="false">
      <c r="A78" s="32" t="s">
        <v>421</v>
      </c>
      <c r="B78" s="33" t="s">
        <v>401</v>
      </c>
      <c r="C78" s="33" t="s">
        <v>402</v>
      </c>
      <c r="D78" s="33" t="s">
        <v>422</v>
      </c>
      <c r="E78" s="33" t="s">
        <v>423</v>
      </c>
      <c r="F78" s="9" t="s">
        <v>4</v>
      </c>
      <c r="G78" s="9" t="s">
        <v>418</v>
      </c>
      <c r="H78" s="9" t="s">
        <v>142</v>
      </c>
      <c r="I78" s="9" t="s">
        <v>424</v>
      </c>
      <c r="J78" s="9" t="s">
        <v>65</v>
      </c>
      <c r="K78" s="9" t="s">
        <v>37</v>
      </c>
      <c r="L78" s="9" t="s">
        <v>113</v>
      </c>
      <c r="M78" s="33" t="s">
        <v>425</v>
      </c>
      <c r="N78" s="33" t="s">
        <v>426</v>
      </c>
    </row>
    <row r="79" customFormat="false" ht="27.75" hidden="false" customHeight="true" outlineLevel="0" collapsed="false">
      <c r="A79" s="30" t="s">
        <v>427</v>
      </c>
      <c r="B79" s="31" t="s">
        <v>401</v>
      </c>
      <c r="C79" s="31" t="s">
        <v>402</v>
      </c>
      <c r="D79" s="31" t="s">
        <v>428</v>
      </c>
      <c r="E79" s="31" t="s">
        <v>429</v>
      </c>
      <c r="F79" s="11" t="s">
        <v>4</v>
      </c>
      <c r="G79" s="11" t="s">
        <v>418</v>
      </c>
      <c r="H79" s="11" t="s">
        <v>430</v>
      </c>
      <c r="I79" s="11" t="s">
        <v>166</v>
      </c>
      <c r="J79" s="11" t="s">
        <v>65</v>
      </c>
      <c r="K79" s="11" t="s">
        <v>35</v>
      </c>
      <c r="L79" s="11" t="s">
        <v>113</v>
      </c>
      <c r="M79" s="31" t="s">
        <v>425</v>
      </c>
      <c r="N79" s="31" t="s">
        <v>431</v>
      </c>
    </row>
    <row r="80" customFormat="false" ht="18" hidden="false" customHeight="true" outlineLevel="0" collapsed="false">
      <c r="A80" s="29" t="s">
        <v>432</v>
      </c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</row>
    <row r="81" customFormat="false" ht="27.75" hidden="false" customHeight="true" outlineLevel="0" collapsed="false">
      <c r="A81" s="30" t="s">
        <v>433</v>
      </c>
      <c r="B81" s="31" t="s">
        <v>401</v>
      </c>
      <c r="C81" s="31" t="s">
        <v>402</v>
      </c>
      <c r="D81" s="31" t="s">
        <v>434</v>
      </c>
      <c r="E81" s="31" t="s">
        <v>435</v>
      </c>
      <c r="F81" s="11" t="s">
        <v>4</v>
      </c>
      <c r="G81" s="11" t="s">
        <v>418</v>
      </c>
      <c r="H81" s="11" t="s">
        <v>436</v>
      </c>
      <c r="I81" s="11" t="s">
        <v>166</v>
      </c>
      <c r="J81" s="11" t="s">
        <v>65</v>
      </c>
      <c r="K81" s="11" t="s">
        <v>37</v>
      </c>
      <c r="L81" s="11" t="s">
        <v>106</v>
      </c>
      <c r="M81" s="31" t="s">
        <v>437</v>
      </c>
      <c r="N81" s="31" t="s">
        <v>438</v>
      </c>
    </row>
    <row r="82" customFormat="false" ht="27.75" hidden="false" customHeight="true" outlineLevel="0" collapsed="false">
      <c r="A82" s="32" t="s">
        <v>439</v>
      </c>
      <c r="B82" s="33" t="s">
        <v>401</v>
      </c>
      <c r="C82" s="33" t="s">
        <v>402</v>
      </c>
      <c r="D82" s="33" t="s">
        <v>440</v>
      </c>
      <c r="E82" s="33" t="s">
        <v>441</v>
      </c>
      <c r="F82" s="9" t="s">
        <v>4</v>
      </c>
      <c r="G82" s="9" t="s">
        <v>418</v>
      </c>
      <c r="H82" s="9" t="s">
        <v>142</v>
      </c>
      <c r="I82" s="9" t="s">
        <v>424</v>
      </c>
      <c r="J82" s="9" t="s">
        <v>65</v>
      </c>
      <c r="K82" s="9" t="s">
        <v>39</v>
      </c>
      <c r="L82" s="9" t="s">
        <v>442</v>
      </c>
      <c r="M82" s="33" t="s">
        <v>443</v>
      </c>
      <c r="N82" s="33" t="s">
        <v>444</v>
      </c>
    </row>
    <row r="83" customFormat="false" ht="18" hidden="false" customHeight="true" outlineLevel="0" collapsed="false">
      <c r="A83" s="29" t="s">
        <v>445</v>
      </c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</row>
    <row r="84" customFormat="false" ht="27.75" hidden="false" customHeight="true" outlineLevel="0" collapsed="false">
      <c r="A84" s="32" t="s">
        <v>446</v>
      </c>
      <c r="B84" s="33" t="s">
        <v>401</v>
      </c>
      <c r="C84" s="33" t="s">
        <v>447</v>
      </c>
      <c r="D84" s="33" t="s">
        <v>448</v>
      </c>
      <c r="E84" s="33" t="s">
        <v>449</v>
      </c>
      <c r="F84" s="9" t="s">
        <v>6</v>
      </c>
      <c r="G84" s="9" t="s">
        <v>280</v>
      </c>
      <c r="H84" s="9" t="s">
        <v>118</v>
      </c>
      <c r="I84" s="9" t="s">
        <v>99</v>
      </c>
      <c r="J84" s="9" t="s">
        <v>65</v>
      </c>
      <c r="K84" s="9" t="s">
        <v>33</v>
      </c>
      <c r="L84" s="9" t="s">
        <v>66</v>
      </c>
      <c r="M84" s="33" t="s">
        <v>450</v>
      </c>
      <c r="N84" s="33" t="s">
        <v>451</v>
      </c>
    </row>
    <row r="85" customFormat="false" ht="27.75" hidden="false" customHeight="true" outlineLevel="0" collapsed="false">
      <c r="A85" s="30" t="s">
        <v>452</v>
      </c>
      <c r="B85" s="31" t="s">
        <v>401</v>
      </c>
      <c r="C85" s="31" t="s">
        <v>447</v>
      </c>
      <c r="D85" s="31" t="s">
        <v>453</v>
      </c>
      <c r="E85" s="31" t="s">
        <v>454</v>
      </c>
      <c r="F85" s="11" t="s">
        <v>6</v>
      </c>
      <c r="G85" s="11" t="s">
        <v>280</v>
      </c>
      <c r="H85" s="11" t="s">
        <v>118</v>
      </c>
      <c r="I85" s="11" t="s">
        <v>99</v>
      </c>
      <c r="J85" s="11" t="s">
        <v>65</v>
      </c>
      <c r="K85" s="11" t="s">
        <v>33</v>
      </c>
      <c r="L85" s="11" t="s">
        <v>66</v>
      </c>
      <c r="M85" s="31" t="s">
        <v>455</v>
      </c>
      <c r="N85" s="31" t="s">
        <v>456</v>
      </c>
    </row>
    <row r="86" customFormat="false" ht="27.75" hidden="false" customHeight="true" outlineLevel="0" collapsed="false">
      <c r="A86" s="32" t="s">
        <v>457</v>
      </c>
      <c r="B86" s="33" t="s">
        <v>401</v>
      </c>
      <c r="C86" s="33" t="s">
        <v>447</v>
      </c>
      <c r="D86" s="33" t="s">
        <v>458</v>
      </c>
      <c r="E86" s="33" t="s">
        <v>459</v>
      </c>
      <c r="F86" s="9" t="s">
        <v>6</v>
      </c>
      <c r="G86" s="9" t="s">
        <v>280</v>
      </c>
      <c r="H86" s="9" t="s">
        <v>118</v>
      </c>
      <c r="I86" s="9" t="s">
        <v>99</v>
      </c>
      <c r="J86" s="9" t="s">
        <v>65</v>
      </c>
      <c r="K86" s="9" t="s">
        <v>33</v>
      </c>
      <c r="L86" s="9" t="s">
        <v>66</v>
      </c>
      <c r="M86" s="33" t="s">
        <v>460</v>
      </c>
      <c r="N86" s="33" t="s">
        <v>461</v>
      </c>
    </row>
    <row r="87" customFormat="false" ht="27.75" hidden="false" customHeight="true" outlineLevel="0" collapsed="false">
      <c r="A87" s="30" t="s">
        <v>462</v>
      </c>
      <c r="B87" s="31" t="s">
        <v>401</v>
      </c>
      <c r="C87" s="31" t="s">
        <v>447</v>
      </c>
      <c r="D87" s="31" t="s">
        <v>463</v>
      </c>
      <c r="E87" s="31" t="s">
        <v>464</v>
      </c>
      <c r="F87" s="11" t="s">
        <v>6</v>
      </c>
      <c r="G87" s="11" t="s">
        <v>280</v>
      </c>
      <c r="H87" s="11" t="s">
        <v>118</v>
      </c>
      <c r="I87" s="11" t="s">
        <v>99</v>
      </c>
      <c r="J87" s="11" t="s">
        <v>65</v>
      </c>
      <c r="K87" s="11" t="s">
        <v>35</v>
      </c>
      <c r="L87" s="11" t="s">
        <v>66</v>
      </c>
      <c r="M87" s="31" t="s">
        <v>465</v>
      </c>
      <c r="N87" s="31" t="s">
        <v>466</v>
      </c>
    </row>
    <row r="88" customFormat="false" ht="27.75" hidden="false" customHeight="true" outlineLevel="0" collapsed="false">
      <c r="A88" s="32" t="s">
        <v>467</v>
      </c>
      <c r="B88" s="33" t="s">
        <v>401</v>
      </c>
      <c r="C88" s="33" t="s">
        <v>447</v>
      </c>
      <c r="D88" s="33" t="s">
        <v>468</v>
      </c>
      <c r="E88" s="33" t="s">
        <v>469</v>
      </c>
      <c r="F88" s="9" t="s">
        <v>6</v>
      </c>
      <c r="G88" s="9" t="s">
        <v>280</v>
      </c>
      <c r="H88" s="9" t="s">
        <v>118</v>
      </c>
      <c r="I88" s="9" t="s">
        <v>99</v>
      </c>
      <c r="J88" s="9" t="s">
        <v>65</v>
      </c>
      <c r="K88" s="9" t="s">
        <v>33</v>
      </c>
      <c r="L88" s="9" t="s">
        <v>66</v>
      </c>
      <c r="M88" s="33" t="s">
        <v>470</v>
      </c>
      <c r="N88" s="33" t="s">
        <v>471</v>
      </c>
    </row>
    <row r="89" customFormat="false" ht="18" hidden="false" customHeight="true" outlineLevel="0" collapsed="false">
      <c r="A89" s="29" t="s">
        <v>472</v>
      </c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</row>
    <row r="90" customFormat="false" ht="27.75" hidden="false" customHeight="true" outlineLevel="0" collapsed="false">
      <c r="A90" s="32" t="s">
        <v>473</v>
      </c>
      <c r="B90" s="33" t="s">
        <v>401</v>
      </c>
      <c r="C90" s="33" t="s">
        <v>474</v>
      </c>
      <c r="D90" s="33" t="s">
        <v>475</v>
      </c>
      <c r="E90" s="33" t="s">
        <v>476</v>
      </c>
      <c r="F90" s="9" t="s">
        <v>6</v>
      </c>
      <c r="G90" s="9" t="s">
        <v>477</v>
      </c>
      <c r="H90" s="9" t="s">
        <v>118</v>
      </c>
      <c r="I90" s="9" t="s">
        <v>99</v>
      </c>
      <c r="J90" s="9" t="s">
        <v>65</v>
      </c>
      <c r="K90" s="9" t="s">
        <v>33</v>
      </c>
      <c r="L90" s="9" t="s">
        <v>66</v>
      </c>
      <c r="M90" s="33" t="s">
        <v>478</v>
      </c>
      <c r="N90" s="33" t="s">
        <v>479</v>
      </c>
    </row>
    <row r="91" customFormat="false" ht="27.75" hidden="false" customHeight="true" outlineLevel="0" collapsed="false">
      <c r="A91" s="30" t="s">
        <v>480</v>
      </c>
      <c r="B91" s="31" t="s">
        <v>401</v>
      </c>
      <c r="C91" s="31" t="s">
        <v>474</v>
      </c>
      <c r="D91" s="31" t="s">
        <v>481</v>
      </c>
      <c r="E91" s="31" t="s">
        <v>482</v>
      </c>
      <c r="F91" s="11" t="s">
        <v>6</v>
      </c>
      <c r="G91" s="11" t="s">
        <v>477</v>
      </c>
      <c r="H91" s="11" t="s">
        <v>118</v>
      </c>
      <c r="I91" s="11" t="s">
        <v>99</v>
      </c>
      <c r="J91" s="11" t="s">
        <v>65</v>
      </c>
      <c r="K91" s="11" t="s">
        <v>33</v>
      </c>
      <c r="L91" s="11" t="s">
        <v>66</v>
      </c>
      <c r="M91" s="31" t="s">
        <v>483</v>
      </c>
      <c r="N91" s="31" t="s">
        <v>484</v>
      </c>
    </row>
    <row r="92" customFormat="false" ht="27.75" hidden="false" customHeight="true" outlineLevel="0" collapsed="false">
      <c r="A92" s="32" t="s">
        <v>485</v>
      </c>
      <c r="B92" s="33" t="s">
        <v>401</v>
      </c>
      <c r="C92" s="33" t="s">
        <v>474</v>
      </c>
      <c r="D92" s="33" t="s">
        <v>486</v>
      </c>
      <c r="E92" s="33" t="s">
        <v>487</v>
      </c>
      <c r="F92" s="9" t="s">
        <v>4</v>
      </c>
      <c r="G92" s="9" t="s">
        <v>62</v>
      </c>
      <c r="H92" s="9" t="s">
        <v>488</v>
      </c>
      <c r="I92" s="9" t="s">
        <v>489</v>
      </c>
      <c r="J92" s="9" t="s">
        <v>65</v>
      </c>
      <c r="K92" s="9" t="s">
        <v>33</v>
      </c>
      <c r="L92" s="9" t="s">
        <v>66</v>
      </c>
      <c r="M92" s="33" t="s">
        <v>490</v>
      </c>
      <c r="N92" s="33" t="s">
        <v>491</v>
      </c>
    </row>
    <row r="93" customFormat="false" ht="27.75" hidden="false" customHeight="true" outlineLevel="0" collapsed="false">
      <c r="A93" s="30" t="s">
        <v>492</v>
      </c>
      <c r="B93" s="31" t="s">
        <v>401</v>
      </c>
      <c r="C93" s="31" t="s">
        <v>474</v>
      </c>
      <c r="D93" s="31" t="s">
        <v>493</v>
      </c>
      <c r="E93" s="31" t="s">
        <v>494</v>
      </c>
      <c r="F93" s="11" t="s">
        <v>6</v>
      </c>
      <c r="G93" s="11" t="s">
        <v>280</v>
      </c>
      <c r="H93" s="11" t="s">
        <v>118</v>
      </c>
      <c r="I93" s="11" t="s">
        <v>99</v>
      </c>
      <c r="J93" s="11" t="s">
        <v>65</v>
      </c>
      <c r="K93" s="11" t="s">
        <v>33</v>
      </c>
      <c r="L93" s="11" t="s">
        <v>66</v>
      </c>
      <c r="M93" s="31" t="s">
        <v>495</v>
      </c>
      <c r="N93" s="31" t="s">
        <v>496</v>
      </c>
    </row>
    <row r="94" customFormat="false" ht="27.75" hidden="false" customHeight="true" outlineLevel="0" collapsed="false">
      <c r="A94" s="32" t="s">
        <v>497</v>
      </c>
      <c r="B94" s="33" t="s">
        <v>401</v>
      </c>
      <c r="C94" s="33" t="s">
        <v>474</v>
      </c>
      <c r="D94" s="33" t="s">
        <v>498</v>
      </c>
      <c r="E94" s="33" t="s">
        <v>499</v>
      </c>
      <c r="F94" s="9" t="s">
        <v>6</v>
      </c>
      <c r="G94" s="9" t="s">
        <v>280</v>
      </c>
      <c r="H94" s="9" t="s">
        <v>118</v>
      </c>
      <c r="I94" s="9" t="s">
        <v>99</v>
      </c>
      <c r="J94" s="9" t="s">
        <v>65</v>
      </c>
      <c r="K94" s="9" t="s">
        <v>35</v>
      </c>
      <c r="L94" s="9" t="s">
        <v>86</v>
      </c>
      <c r="M94" s="33" t="s">
        <v>495</v>
      </c>
      <c r="N94" s="33" t="s">
        <v>500</v>
      </c>
    </row>
    <row r="95" customFormat="false" ht="27.75" hidden="false" customHeight="true" outlineLevel="0" collapsed="false">
      <c r="A95" s="30" t="s">
        <v>501</v>
      </c>
      <c r="B95" s="31" t="s">
        <v>401</v>
      </c>
      <c r="C95" s="31" t="s">
        <v>474</v>
      </c>
      <c r="D95" s="31" t="s">
        <v>502</v>
      </c>
      <c r="E95" s="31" t="s">
        <v>503</v>
      </c>
      <c r="F95" s="11" t="s">
        <v>6</v>
      </c>
      <c r="G95" s="11" t="s">
        <v>280</v>
      </c>
      <c r="H95" s="11" t="s">
        <v>118</v>
      </c>
      <c r="I95" s="11" t="s">
        <v>99</v>
      </c>
      <c r="J95" s="11" t="s">
        <v>65</v>
      </c>
      <c r="K95" s="11" t="s">
        <v>35</v>
      </c>
      <c r="L95" s="11" t="s">
        <v>106</v>
      </c>
      <c r="M95" s="31" t="s">
        <v>504</v>
      </c>
      <c r="N95" s="31" t="s">
        <v>505</v>
      </c>
    </row>
    <row r="96" customFormat="false" ht="27.75" hidden="false" customHeight="true" outlineLevel="0" collapsed="false">
      <c r="A96" s="32" t="s">
        <v>506</v>
      </c>
      <c r="B96" s="33" t="s">
        <v>401</v>
      </c>
      <c r="C96" s="33" t="s">
        <v>474</v>
      </c>
      <c r="D96" s="33" t="s">
        <v>507</v>
      </c>
      <c r="E96" s="33" t="s">
        <v>508</v>
      </c>
      <c r="F96" s="9" t="s">
        <v>6</v>
      </c>
      <c r="G96" s="9" t="s">
        <v>280</v>
      </c>
      <c r="H96" s="9" t="s">
        <v>118</v>
      </c>
      <c r="I96" s="9" t="s">
        <v>99</v>
      </c>
      <c r="J96" s="9" t="s">
        <v>65</v>
      </c>
      <c r="K96" s="9" t="s">
        <v>33</v>
      </c>
      <c r="L96" s="9" t="s">
        <v>66</v>
      </c>
      <c r="M96" s="33" t="s">
        <v>504</v>
      </c>
      <c r="N96" s="33" t="s">
        <v>509</v>
      </c>
    </row>
    <row r="97" customFormat="false" ht="18" hidden="false" customHeight="true" outlineLevel="0" collapsed="false">
      <c r="A97" s="29" t="s">
        <v>510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</row>
    <row r="98" customFormat="false" ht="27.75" hidden="false" customHeight="true" outlineLevel="0" collapsed="false">
      <c r="A98" s="32" t="s">
        <v>511</v>
      </c>
      <c r="B98" s="33" t="s">
        <v>401</v>
      </c>
      <c r="C98" s="33" t="s">
        <v>512</v>
      </c>
      <c r="D98" s="33" t="s">
        <v>513</v>
      </c>
      <c r="E98" s="33" t="s">
        <v>514</v>
      </c>
      <c r="F98" s="9" t="s">
        <v>4</v>
      </c>
      <c r="G98" s="9" t="s">
        <v>515</v>
      </c>
      <c r="H98" s="9" t="s">
        <v>63</v>
      </c>
      <c r="I98" s="9" t="s">
        <v>516</v>
      </c>
      <c r="J98" s="9" t="s">
        <v>65</v>
      </c>
      <c r="K98" s="9" t="s">
        <v>37</v>
      </c>
      <c r="L98" s="9" t="s">
        <v>442</v>
      </c>
      <c r="M98" s="33" t="s">
        <v>517</v>
      </c>
      <c r="N98" s="33" t="s">
        <v>518</v>
      </c>
    </row>
    <row r="99" customFormat="false" ht="27.75" hidden="false" customHeight="true" outlineLevel="0" collapsed="false">
      <c r="A99" s="30" t="s">
        <v>519</v>
      </c>
      <c r="B99" s="31" t="s">
        <v>401</v>
      </c>
      <c r="C99" s="31" t="s">
        <v>512</v>
      </c>
      <c r="D99" s="31" t="s">
        <v>520</v>
      </c>
      <c r="E99" s="31" t="s">
        <v>521</v>
      </c>
      <c r="F99" s="11" t="s">
        <v>4</v>
      </c>
      <c r="G99" s="11" t="s">
        <v>223</v>
      </c>
      <c r="H99" s="11" t="s">
        <v>63</v>
      </c>
      <c r="I99" s="11" t="s">
        <v>522</v>
      </c>
      <c r="J99" s="11" t="s">
        <v>65</v>
      </c>
      <c r="K99" s="11" t="s">
        <v>33</v>
      </c>
      <c r="L99" s="11" t="s">
        <v>187</v>
      </c>
      <c r="M99" s="31" t="s">
        <v>523</v>
      </c>
      <c r="N99" s="31" t="s">
        <v>524</v>
      </c>
    </row>
    <row r="100" customFormat="false" ht="27.75" hidden="false" customHeight="true" outlineLevel="0" collapsed="false">
      <c r="A100" s="32" t="s">
        <v>525</v>
      </c>
      <c r="B100" s="33" t="s">
        <v>401</v>
      </c>
      <c r="C100" s="33" t="s">
        <v>512</v>
      </c>
      <c r="D100" s="33" t="s">
        <v>526</v>
      </c>
      <c r="E100" s="33" t="s">
        <v>527</v>
      </c>
      <c r="F100" s="9" t="s">
        <v>4</v>
      </c>
      <c r="G100" s="9" t="s">
        <v>223</v>
      </c>
      <c r="H100" s="9" t="s">
        <v>142</v>
      </c>
      <c r="I100" s="9" t="s">
        <v>522</v>
      </c>
      <c r="J100" s="9" t="s">
        <v>65</v>
      </c>
      <c r="K100" s="9" t="s">
        <v>35</v>
      </c>
      <c r="L100" s="9" t="s">
        <v>106</v>
      </c>
      <c r="M100" s="33" t="s">
        <v>528</v>
      </c>
      <c r="N100" s="33" t="s">
        <v>529</v>
      </c>
    </row>
    <row r="101" customFormat="false" ht="18" hidden="false" customHeight="true" outlineLevel="0" collapsed="false">
      <c r="A101" s="29" t="s">
        <v>530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</row>
    <row r="102" customFormat="false" ht="27.75" hidden="false" customHeight="true" outlineLevel="0" collapsed="false">
      <c r="A102" s="32" t="s">
        <v>531</v>
      </c>
      <c r="B102" s="33" t="s">
        <v>401</v>
      </c>
      <c r="C102" s="33" t="s">
        <v>532</v>
      </c>
      <c r="D102" s="33" t="s">
        <v>533</v>
      </c>
      <c r="E102" s="33" t="s">
        <v>534</v>
      </c>
      <c r="F102" s="9" t="s">
        <v>4</v>
      </c>
      <c r="G102" s="9" t="s">
        <v>418</v>
      </c>
      <c r="H102" s="9" t="s">
        <v>535</v>
      </c>
      <c r="I102" s="9" t="s">
        <v>166</v>
      </c>
      <c r="J102" s="9" t="s">
        <v>65</v>
      </c>
      <c r="K102" s="9" t="s">
        <v>37</v>
      </c>
      <c r="L102" s="9" t="s">
        <v>106</v>
      </c>
      <c r="M102" s="33" t="s">
        <v>536</v>
      </c>
      <c r="N102" s="33" t="s">
        <v>537</v>
      </c>
    </row>
    <row r="103" customFormat="false" ht="27.75" hidden="false" customHeight="true" outlineLevel="0" collapsed="false">
      <c r="A103" s="30" t="s">
        <v>538</v>
      </c>
      <c r="B103" s="31" t="s">
        <v>401</v>
      </c>
      <c r="C103" s="31" t="s">
        <v>532</v>
      </c>
      <c r="D103" s="31" t="s">
        <v>539</v>
      </c>
      <c r="E103" s="31" t="s">
        <v>540</v>
      </c>
      <c r="F103" s="11" t="s">
        <v>6</v>
      </c>
      <c r="G103" s="11" t="s">
        <v>418</v>
      </c>
      <c r="H103" s="11" t="s">
        <v>118</v>
      </c>
      <c r="I103" s="11" t="s">
        <v>99</v>
      </c>
      <c r="J103" s="11" t="s">
        <v>65</v>
      </c>
      <c r="K103" s="11" t="s">
        <v>37</v>
      </c>
      <c r="L103" s="11" t="s">
        <v>187</v>
      </c>
      <c r="M103" s="31" t="s">
        <v>536</v>
      </c>
      <c r="N103" s="31" t="s">
        <v>541</v>
      </c>
    </row>
    <row r="104" customFormat="false" ht="27.75" hidden="false" customHeight="true" outlineLevel="0" collapsed="false">
      <c r="A104" s="32" t="s">
        <v>542</v>
      </c>
      <c r="B104" s="33" t="s">
        <v>401</v>
      </c>
      <c r="C104" s="33" t="s">
        <v>532</v>
      </c>
      <c r="D104" s="33" t="s">
        <v>543</v>
      </c>
      <c r="E104" s="33" t="s">
        <v>544</v>
      </c>
      <c r="F104" s="9" t="s">
        <v>6</v>
      </c>
      <c r="G104" s="9" t="s">
        <v>280</v>
      </c>
      <c r="H104" s="9" t="s">
        <v>118</v>
      </c>
      <c r="I104" s="9" t="s">
        <v>99</v>
      </c>
      <c r="J104" s="9" t="s">
        <v>65</v>
      </c>
      <c r="K104" s="9" t="s">
        <v>37</v>
      </c>
      <c r="L104" s="9" t="s">
        <v>187</v>
      </c>
      <c r="M104" s="33" t="s">
        <v>545</v>
      </c>
      <c r="N104" s="33" t="s">
        <v>546</v>
      </c>
    </row>
    <row r="105" customFormat="false" ht="27.75" hidden="false" customHeight="true" outlineLevel="0" collapsed="false">
      <c r="A105" s="30" t="s">
        <v>547</v>
      </c>
      <c r="B105" s="31" t="s">
        <v>401</v>
      </c>
      <c r="C105" s="31" t="s">
        <v>532</v>
      </c>
      <c r="D105" s="31" t="s">
        <v>548</v>
      </c>
      <c r="E105" s="31" t="s">
        <v>549</v>
      </c>
      <c r="F105" s="11" t="s">
        <v>7</v>
      </c>
      <c r="G105" s="11" t="s">
        <v>280</v>
      </c>
      <c r="H105" s="11" t="s">
        <v>118</v>
      </c>
      <c r="I105" s="11" t="s">
        <v>99</v>
      </c>
      <c r="J105" s="11" t="s">
        <v>98</v>
      </c>
      <c r="K105" s="11" t="s">
        <v>99</v>
      </c>
      <c r="L105" s="11" t="s">
        <v>287</v>
      </c>
      <c r="M105" s="31" t="s">
        <v>545</v>
      </c>
      <c r="N105" s="31" t="s">
        <v>550</v>
      </c>
    </row>
    <row r="106" customFormat="false" ht="27.75" hidden="false" customHeight="true" outlineLevel="0" collapsed="false">
      <c r="A106" s="32" t="s">
        <v>551</v>
      </c>
      <c r="B106" s="33" t="s">
        <v>401</v>
      </c>
      <c r="C106" s="33" t="s">
        <v>249</v>
      </c>
      <c r="D106" s="33" t="s">
        <v>552</v>
      </c>
      <c r="E106" s="33" t="s">
        <v>553</v>
      </c>
      <c r="F106" s="9" t="s">
        <v>8</v>
      </c>
      <c r="G106" s="9" t="s">
        <v>252</v>
      </c>
      <c r="H106" s="9" t="s">
        <v>104</v>
      </c>
      <c r="I106" s="9" t="s">
        <v>166</v>
      </c>
      <c r="J106" s="9" t="s">
        <v>65</v>
      </c>
      <c r="K106" s="9" t="s">
        <v>37</v>
      </c>
      <c r="L106" s="9" t="s">
        <v>106</v>
      </c>
      <c r="M106" s="33" t="s">
        <v>99</v>
      </c>
      <c r="N106" s="33" t="s">
        <v>554</v>
      </c>
    </row>
    <row r="107" customFormat="false" ht="27.75" hidden="false" customHeight="true" outlineLevel="0" collapsed="false">
      <c r="A107" s="30" t="s">
        <v>555</v>
      </c>
      <c r="B107" s="31" t="s">
        <v>401</v>
      </c>
      <c r="C107" s="31" t="s">
        <v>249</v>
      </c>
      <c r="D107" s="31" t="s">
        <v>556</v>
      </c>
      <c r="E107" s="31" t="s">
        <v>557</v>
      </c>
      <c r="F107" s="11" t="s">
        <v>8</v>
      </c>
      <c r="G107" s="11" t="s">
        <v>252</v>
      </c>
      <c r="H107" s="11" t="s">
        <v>142</v>
      </c>
      <c r="I107" s="11" t="s">
        <v>558</v>
      </c>
      <c r="J107" s="11" t="s">
        <v>65</v>
      </c>
      <c r="K107" s="11" t="s">
        <v>37</v>
      </c>
      <c r="L107" s="11" t="s">
        <v>113</v>
      </c>
      <c r="M107" s="31" t="s">
        <v>99</v>
      </c>
      <c r="N107" s="31" t="s">
        <v>559</v>
      </c>
    </row>
    <row r="108" customFormat="false" ht="27.75" hidden="false" customHeight="true" outlineLevel="0" collapsed="false">
      <c r="A108" s="32" t="s">
        <v>560</v>
      </c>
      <c r="B108" s="33" t="s">
        <v>401</v>
      </c>
      <c r="C108" s="33" t="s">
        <v>249</v>
      </c>
      <c r="D108" s="33" t="s">
        <v>561</v>
      </c>
      <c r="E108" s="33" t="s">
        <v>562</v>
      </c>
      <c r="F108" s="9" t="s">
        <v>8</v>
      </c>
      <c r="G108" s="9" t="s">
        <v>252</v>
      </c>
      <c r="H108" s="9" t="s">
        <v>142</v>
      </c>
      <c r="I108" s="9" t="s">
        <v>105</v>
      </c>
      <c r="J108" s="9" t="s">
        <v>98</v>
      </c>
      <c r="K108" s="9" t="s">
        <v>99</v>
      </c>
      <c r="L108" s="9" t="s">
        <v>352</v>
      </c>
      <c r="M108" s="33" t="s">
        <v>99</v>
      </c>
      <c r="N108" s="33" t="s">
        <v>563</v>
      </c>
    </row>
    <row r="109" customFormat="false" ht="27.75" hidden="false" customHeight="true" outlineLevel="0" collapsed="false">
      <c r="A109" s="30" t="s">
        <v>564</v>
      </c>
      <c r="B109" s="31" t="s">
        <v>401</v>
      </c>
      <c r="C109" s="31" t="s">
        <v>249</v>
      </c>
      <c r="D109" s="31" t="s">
        <v>565</v>
      </c>
      <c r="E109" s="31" t="s">
        <v>566</v>
      </c>
      <c r="F109" s="11" t="s">
        <v>8</v>
      </c>
      <c r="G109" s="11" t="s">
        <v>252</v>
      </c>
      <c r="H109" s="11" t="s">
        <v>567</v>
      </c>
      <c r="I109" s="11" t="s">
        <v>263</v>
      </c>
      <c r="J109" s="11" t="s">
        <v>98</v>
      </c>
      <c r="K109" s="11" t="s">
        <v>99</v>
      </c>
      <c r="L109" s="11" t="s">
        <v>352</v>
      </c>
      <c r="M109" s="31" t="s">
        <v>99</v>
      </c>
      <c r="N109" s="31" t="s">
        <v>568</v>
      </c>
    </row>
    <row r="110" customFormat="false" ht="21.75" hidden="false" customHeight="true" outlineLevel="0" collapsed="false">
      <c r="A110" s="28" t="s">
        <v>569</v>
      </c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</row>
    <row r="111" customFormat="false" ht="18" hidden="false" customHeight="true" outlineLevel="0" collapsed="false">
      <c r="A111" s="29" t="s">
        <v>570</v>
      </c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</row>
    <row r="112" customFormat="false" ht="27.75" hidden="false" customHeight="true" outlineLevel="0" collapsed="false">
      <c r="A112" s="32" t="s">
        <v>571</v>
      </c>
      <c r="B112" s="33" t="s">
        <v>572</v>
      </c>
      <c r="C112" s="33" t="s">
        <v>573</v>
      </c>
      <c r="D112" s="33" t="s">
        <v>574</v>
      </c>
      <c r="E112" s="33" t="s">
        <v>575</v>
      </c>
      <c r="F112" s="9" t="s">
        <v>6</v>
      </c>
      <c r="G112" s="9" t="s">
        <v>132</v>
      </c>
      <c r="H112" s="9" t="s">
        <v>118</v>
      </c>
      <c r="I112" s="9" t="s">
        <v>99</v>
      </c>
      <c r="J112" s="9" t="s">
        <v>65</v>
      </c>
      <c r="K112" s="9" t="s">
        <v>33</v>
      </c>
      <c r="L112" s="9" t="s">
        <v>86</v>
      </c>
      <c r="M112" s="33" t="s">
        <v>576</v>
      </c>
      <c r="N112" s="33" t="s">
        <v>577</v>
      </c>
    </row>
    <row r="113" customFormat="false" ht="27.75" hidden="false" customHeight="true" outlineLevel="0" collapsed="false">
      <c r="A113" s="30" t="s">
        <v>578</v>
      </c>
      <c r="B113" s="31" t="s">
        <v>572</v>
      </c>
      <c r="C113" s="31" t="s">
        <v>573</v>
      </c>
      <c r="D113" s="31" t="s">
        <v>579</v>
      </c>
      <c r="E113" s="31" t="s">
        <v>580</v>
      </c>
      <c r="F113" s="11" t="s">
        <v>6</v>
      </c>
      <c r="G113" s="11" t="s">
        <v>132</v>
      </c>
      <c r="H113" s="11" t="s">
        <v>118</v>
      </c>
      <c r="I113" s="11" t="s">
        <v>99</v>
      </c>
      <c r="J113" s="11" t="s">
        <v>65</v>
      </c>
      <c r="K113" s="11" t="s">
        <v>33</v>
      </c>
      <c r="L113" s="11" t="s">
        <v>86</v>
      </c>
      <c r="M113" s="31" t="s">
        <v>576</v>
      </c>
      <c r="N113" s="31" t="s">
        <v>581</v>
      </c>
    </row>
    <row r="114" customFormat="false" ht="27.75" hidden="false" customHeight="true" outlineLevel="0" collapsed="false">
      <c r="A114" s="32" t="s">
        <v>582</v>
      </c>
      <c r="B114" s="33" t="s">
        <v>572</v>
      </c>
      <c r="C114" s="33" t="s">
        <v>573</v>
      </c>
      <c r="D114" s="33" t="s">
        <v>583</v>
      </c>
      <c r="E114" s="33" t="s">
        <v>584</v>
      </c>
      <c r="F114" s="9" t="s">
        <v>4</v>
      </c>
      <c r="G114" s="9" t="s">
        <v>132</v>
      </c>
      <c r="H114" s="9" t="s">
        <v>585</v>
      </c>
      <c r="I114" s="9" t="s">
        <v>586</v>
      </c>
      <c r="J114" s="9" t="s">
        <v>65</v>
      </c>
      <c r="K114" s="9" t="s">
        <v>37</v>
      </c>
      <c r="L114" s="9" t="s">
        <v>106</v>
      </c>
      <c r="M114" s="33" t="s">
        <v>576</v>
      </c>
      <c r="N114" s="33" t="s">
        <v>587</v>
      </c>
    </row>
    <row r="115" customFormat="false" ht="27.75" hidden="false" customHeight="true" outlineLevel="0" collapsed="false">
      <c r="A115" s="30" t="s">
        <v>588</v>
      </c>
      <c r="B115" s="31" t="s">
        <v>572</v>
      </c>
      <c r="C115" s="31" t="s">
        <v>573</v>
      </c>
      <c r="D115" s="31" t="s">
        <v>589</v>
      </c>
      <c r="E115" s="31" t="s">
        <v>590</v>
      </c>
      <c r="F115" s="11" t="s">
        <v>4</v>
      </c>
      <c r="G115" s="11" t="s">
        <v>132</v>
      </c>
      <c r="H115" s="11" t="s">
        <v>585</v>
      </c>
      <c r="I115" s="11" t="s">
        <v>586</v>
      </c>
      <c r="J115" s="11" t="s">
        <v>65</v>
      </c>
      <c r="K115" s="11" t="s">
        <v>37</v>
      </c>
      <c r="L115" s="11" t="s">
        <v>106</v>
      </c>
      <c r="M115" s="31" t="s">
        <v>576</v>
      </c>
      <c r="N115" s="31" t="s">
        <v>591</v>
      </c>
    </row>
    <row r="116" customFormat="false" ht="27.75" hidden="false" customHeight="true" outlineLevel="0" collapsed="false">
      <c r="A116" s="32" t="s">
        <v>592</v>
      </c>
      <c r="B116" s="33" t="s">
        <v>572</v>
      </c>
      <c r="C116" s="33" t="s">
        <v>573</v>
      </c>
      <c r="D116" s="33" t="s">
        <v>593</v>
      </c>
      <c r="E116" s="33" t="s">
        <v>594</v>
      </c>
      <c r="F116" s="9" t="s">
        <v>4</v>
      </c>
      <c r="G116" s="9" t="s">
        <v>132</v>
      </c>
      <c r="H116" s="9" t="s">
        <v>151</v>
      </c>
      <c r="I116" s="9" t="s">
        <v>595</v>
      </c>
      <c r="J116" s="9" t="s">
        <v>65</v>
      </c>
      <c r="K116" s="9" t="s">
        <v>37</v>
      </c>
      <c r="L116" s="9" t="s">
        <v>113</v>
      </c>
      <c r="M116" s="33" t="s">
        <v>576</v>
      </c>
      <c r="N116" s="33" t="s">
        <v>596</v>
      </c>
    </row>
    <row r="117" customFormat="false" ht="27.75" hidden="false" customHeight="true" outlineLevel="0" collapsed="false">
      <c r="A117" s="30" t="s">
        <v>597</v>
      </c>
      <c r="B117" s="31" t="s">
        <v>572</v>
      </c>
      <c r="C117" s="31" t="s">
        <v>573</v>
      </c>
      <c r="D117" s="31" t="s">
        <v>598</v>
      </c>
      <c r="E117" s="31" t="s">
        <v>599</v>
      </c>
      <c r="F117" s="11" t="s">
        <v>4</v>
      </c>
      <c r="G117" s="11" t="s">
        <v>132</v>
      </c>
      <c r="H117" s="11" t="s">
        <v>151</v>
      </c>
      <c r="I117" s="11" t="s">
        <v>595</v>
      </c>
      <c r="J117" s="11" t="s">
        <v>65</v>
      </c>
      <c r="K117" s="11" t="s">
        <v>37</v>
      </c>
      <c r="L117" s="11" t="s">
        <v>113</v>
      </c>
      <c r="M117" s="31" t="s">
        <v>576</v>
      </c>
      <c r="N117" s="31"/>
    </row>
    <row r="118" customFormat="false" ht="18" hidden="false" customHeight="true" outlineLevel="0" collapsed="false">
      <c r="A118" s="29" t="s">
        <v>600</v>
      </c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</row>
    <row r="119" customFormat="false" ht="27.75" hidden="false" customHeight="true" outlineLevel="0" collapsed="false">
      <c r="A119" s="30" t="s">
        <v>601</v>
      </c>
      <c r="B119" s="31" t="s">
        <v>572</v>
      </c>
      <c r="C119" s="31" t="s">
        <v>602</v>
      </c>
      <c r="D119" s="31" t="s">
        <v>603</v>
      </c>
      <c r="E119" s="31" t="s">
        <v>604</v>
      </c>
      <c r="F119" s="11" t="s">
        <v>4</v>
      </c>
      <c r="G119" s="11" t="s">
        <v>605</v>
      </c>
      <c r="H119" s="11" t="s">
        <v>142</v>
      </c>
      <c r="I119" s="11" t="s">
        <v>606</v>
      </c>
      <c r="J119" s="11" t="s">
        <v>65</v>
      </c>
      <c r="K119" s="11" t="s">
        <v>37</v>
      </c>
      <c r="L119" s="11" t="s">
        <v>106</v>
      </c>
      <c r="M119" s="31" t="s">
        <v>607</v>
      </c>
      <c r="N119" s="31" t="s">
        <v>608</v>
      </c>
    </row>
    <row r="120" customFormat="false" ht="27.75" hidden="false" customHeight="true" outlineLevel="0" collapsed="false">
      <c r="A120" s="32" t="s">
        <v>609</v>
      </c>
      <c r="B120" s="33" t="s">
        <v>572</v>
      </c>
      <c r="C120" s="33" t="s">
        <v>602</v>
      </c>
      <c r="D120" s="33" t="s">
        <v>610</v>
      </c>
      <c r="E120" s="33" t="s">
        <v>611</v>
      </c>
      <c r="F120" s="9" t="s">
        <v>4</v>
      </c>
      <c r="G120" s="9" t="s">
        <v>612</v>
      </c>
      <c r="H120" s="9" t="s">
        <v>613</v>
      </c>
      <c r="I120" s="9" t="s">
        <v>606</v>
      </c>
      <c r="J120" s="9" t="s">
        <v>65</v>
      </c>
      <c r="K120" s="9" t="s">
        <v>37</v>
      </c>
      <c r="L120" s="9" t="s">
        <v>106</v>
      </c>
      <c r="M120" s="33" t="s">
        <v>607</v>
      </c>
      <c r="N120" s="33" t="s">
        <v>614</v>
      </c>
    </row>
    <row r="121" customFormat="false" ht="27.75" hidden="false" customHeight="true" outlineLevel="0" collapsed="false">
      <c r="A121" s="30" t="s">
        <v>615</v>
      </c>
      <c r="B121" s="31" t="s">
        <v>572</v>
      </c>
      <c r="C121" s="31" t="s">
        <v>602</v>
      </c>
      <c r="D121" s="31" t="s">
        <v>616</v>
      </c>
      <c r="E121" s="31" t="s">
        <v>617</v>
      </c>
      <c r="F121" s="11" t="s">
        <v>4</v>
      </c>
      <c r="G121" s="11" t="s">
        <v>605</v>
      </c>
      <c r="H121" s="11" t="s">
        <v>142</v>
      </c>
      <c r="I121" s="11" t="s">
        <v>105</v>
      </c>
      <c r="J121" s="11" t="s">
        <v>65</v>
      </c>
      <c r="K121" s="11" t="s">
        <v>35</v>
      </c>
      <c r="L121" s="11" t="s">
        <v>106</v>
      </c>
      <c r="M121" s="31" t="s">
        <v>607</v>
      </c>
      <c r="N121" s="31" t="s">
        <v>618</v>
      </c>
    </row>
    <row r="122" customFormat="false" ht="18" hidden="false" customHeight="true" outlineLevel="0" collapsed="false">
      <c r="A122" s="29" t="s">
        <v>619</v>
      </c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</row>
    <row r="123" customFormat="false" ht="27.75" hidden="false" customHeight="true" outlineLevel="0" collapsed="false">
      <c r="A123" s="30" t="s">
        <v>620</v>
      </c>
      <c r="B123" s="31" t="s">
        <v>572</v>
      </c>
      <c r="C123" s="31" t="s">
        <v>621</v>
      </c>
      <c r="D123" s="31" t="s">
        <v>622</v>
      </c>
      <c r="E123" s="31" t="s">
        <v>623</v>
      </c>
      <c r="F123" s="11" t="s">
        <v>6</v>
      </c>
      <c r="G123" s="11" t="s">
        <v>132</v>
      </c>
      <c r="H123" s="11" t="s">
        <v>118</v>
      </c>
      <c r="I123" s="11" t="s">
        <v>99</v>
      </c>
      <c r="J123" s="11" t="s">
        <v>65</v>
      </c>
      <c r="K123" s="11" t="s">
        <v>35</v>
      </c>
      <c r="L123" s="11" t="s">
        <v>187</v>
      </c>
      <c r="M123" s="31" t="s">
        <v>624</v>
      </c>
      <c r="N123" s="31" t="s">
        <v>625</v>
      </c>
    </row>
    <row r="124" customFormat="false" ht="27.75" hidden="false" customHeight="true" outlineLevel="0" collapsed="false">
      <c r="A124" s="32" t="s">
        <v>626</v>
      </c>
      <c r="B124" s="33" t="s">
        <v>572</v>
      </c>
      <c r="C124" s="33" t="s">
        <v>621</v>
      </c>
      <c r="D124" s="33" t="s">
        <v>627</v>
      </c>
      <c r="E124" s="33" t="s">
        <v>628</v>
      </c>
      <c r="F124" s="9" t="s">
        <v>6</v>
      </c>
      <c r="G124" s="9" t="s">
        <v>629</v>
      </c>
      <c r="H124" s="9" t="s">
        <v>118</v>
      </c>
      <c r="I124" s="9" t="s">
        <v>99</v>
      </c>
      <c r="J124" s="9" t="s">
        <v>65</v>
      </c>
      <c r="K124" s="9" t="s">
        <v>33</v>
      </c>
      <c r="L124" s="9" t="s">
        <v>187</v>
      </c>
      <c r="M124" s="33" t="s">
        <v>630</v>
      </c>
      <c r="N124" s="33" t="s">
        <v>631</v>
      </c>
    </row>
    <row r="125" customFormat="false" ht="27.75" hidden="false" customHeight="true" outlineLevel="0" collapsed="false">
      <c r="A125" s="30" t="s">
        <v>632</v>
      </c>
      <c r="B125" s="31" t="s">
        <v>572</v>
      </c>
      <c r="C125" s="31" t="s">
        <v>621</v>
      </c>
      <c r="D125" s="31" t="s">
        <v>633</v>
      </c>
      <c r="E125" s="31" t="s">
        <v>634</v>
      </c>
      <c r="F125" s="11" t="s">
        <v>6</v>
      </c>
      <c r="G125" s="11" t="s">
        <v>132</v>
      </c>
      <c r="H125" s="11" t="s">
        <v>118</v>
      </c>
      <c r="I125" s="11" t="s">
        <v>99</v>
      </c>
      <c r="J125" s="11" t="s">
        <v>65</v>
      </c>
      <c r="K125" s="11" t="s">
        <v>35</v>
      </c>
      <c r="L125" s="11" t="s">
        <v>106</v>
      </c>
      <c r="M125" s="31" t="s">
        <v>635</v>
      </c>
      <c r="N125" s="31" t="s">
        <v>636</v>
      </c>
    </row>
    <row r="126" customFormat="false" ht="27.75" hidden="false" customHeight="true" outlineLevel="0" collapsed="false">
      <c r="A126" s="32" t="s">
        <v>637</v>
      </c>
      <c r="B126" s="33" t="s">
        <v>572</v>
      </c>
      <c r="C126" s="33" t="s">
        <v>249</v>
      </c>
      <c r="D126" s="33" t="s">
        <v>638</v>
      </c>
      <c r="E126" s="33" t="s">
        <v>639</v>
      </c>
      <c r="F126" s="9" t="s">
        <v>8</v>
      </c>
      <c r="G126" s="9" t="s">
        <v>252</v>
      </c>
      <c r="H126" s="9" t="s">
        <v>142</v>
      </c>
      <c r="I126" s="9" t="s">
        <v>105</v>
      </c>
      <c r="J126" s="9" t="s">
        <v>65</v>
      </c>
      <c r="K126" s="9" t="s">
        <v>35</v>
      </c>
      <c r="L126" s="9" t="s">
        <v>113</v>
      </c>
      <c r="M126" s="33" t="s">
        <v>99</v>
      </c>
      <c r="N126" s="33" t="s">
        <v>640</v>
      </c>
    </row>
    <row r="127" customFormat="false" ht="27.75" hidden="false" customHeight="true" outlineLevel="0" collapsed="false">
      <c r="A127" s="30" t="s">
        <v>641</v>
      </c>
      <c r="B127" s="31" t="s">
        <v>572</v>
      </c>
      <c r="C127" s="31" t="s">
        <v>249</v>
      </c>
      <c r="D127" s="31" t="s">
        <v>642</v>
      </c>
      <c r="E127" s="31" t="s">
        <v>643</v>
      </c>
      <c r="F127" s="11" t="s">
        <v>8</v>
      </c>
      <c r="G127" s="11" t="s">
        <v>252</v>
      </c>
      <c r="H127" s="11" t="s">
        <v>142</v>
      </c>
      <c r="I127" s="11" t="s">
        <v>105</v>
      </c>
      <c r="J127" s="11" t="s">
        <v>65</v>
      </c>
      <c r="K127" s="11" t="s">
        <v>37</v>
      </c>
      <c r="L127" s="11" t="s">
        <v>352</v>
      </c>
      <c r="M127" s="31" t="s">
        <v>99</v>
      </c>
      <c r="N127" s="31" t="s">
        <v>644</v>
      </c>
    </row>
    <row r="128" customFormat="false" ht="27.75" hidden="false" customHeight="true" outlineLevel="0" collapsed="false">
      <c r="A128" s="32" t="s">
        <v>645</v>
      </c>
      <c r="B128" s="33" t="s">
        <v>572</v>
      </c>
      <c r="C128" s="33" t="s">
        <v>249</v>
      </c>
      <c r="D128" s="33" t="s">
        <v>646</v>
      </c>
      <c r="E128" s="33" t="s">
        <v>647</v>
      </c>
      <c r="F128" s="9" t="s">
        <v>8</v>
      </c>
      <c r="G128" s="9" t="s">
        <v>252</v>
      </c>
      <c r="H128" s="9" t="s">
        <v>142</v>
      </c>
      <c r="I128" s="9" t="s">
        <v>105</v>
      </c>
      <c r="J128" s="9" t="s">
        <v>65</v>
      </c>
      <c r="K128" s="9" t="s">
        <v>35</v>
      </c>
      <c r="L128" s="9" t="s">
        <v>352</v>
      </c>
      <c r="M128" s="33" t="s">
        <v>99</v>
      </c>
      <c r="N128" s="33" t="s">
        <v>648</v>
      </c>
    </row>
    <row r="129" customFormat="false" ht="27.75" hidden="false" customHeight="true" outlineLevel="0" collapsed="false">
      <c r="A129" s="30" t="s">
        <v>649</v>
      </c>
      <c r="B129" s="31" t="s">
        <v>572</v>
      </c>
      <c r="C129" s="31" t="s">
        <v>249</v>
      </c>
      <c r="D129" s="31" t="s">
        <v>650</v>
      </c>
      <c r="E129" s="31" t="s">
        <v>651</v>
      </c>
      <c r="F129" s="11" t="s">
        <v>8</v>
      </c>
      <c r="G129" s="11" t="s">
        <v>252</v>
      </c>
      <c r="H129" s="11" t="s">
        <v>142</v>
      </c>
      <c r="I129" s="11" t="s">
        <v>105</v>
      </c>
      <c r="J129" s="11" t="s">
        <v>65</v>
      </c>
      <c r="K129" s="11" t="s">
        <v>33</v>
      </c>
      <c r="L129" s="11" t="s">
        <v>106</v>
      </c>
      <c r="M129" s="31" t="s">
        <v>99</v>
      </c>
      <c r="N129" s="31" t="s">
        <v>652</v>
      </c>
    </row>
    <row r="130" customFormat="false" ht="27.75" hidden="false" customHeight="true" outlineLevel="0" collapsed="false">
      <c r="A130" s="32" t="s">
        <v>653</v>
      </c>
      <c r="B130" s="33" t="s">
        <v>572</v>
      </c>
      <c r="C130" s="33" t="s">
        <v>249</v>
      </c>
      <c r="D130" s="33" t="s">
        <v>654</v>
      </c>
      <c r="E130" s="33" t="s">
        <v>655</v>
      </c>
      <c r="F130" s="9" t="s">
        <v>8</v>
      </c>
      <c r="G130" s="9" t="s">
        <v>252</v>
      </c>
      <c r="H130" s="9" t="s">
        <v>142</v>
      </c>
      <c r="I130" s="9" t="s">
        <v>105</v>
      </c>
      <c r="J130" s="9" t="s">
        <v>65</v>
      </c>
      <c r="K130" s="9" t="s">
        <v>37</v>
      </c>
      <c r="L130" s="9" t="s">
        <v>113</v>
      </c>
      <c r="M130" s="33" t="s">
        <v>99</v>
      </c>
      <c r="N130" s="33" t="s">
        <v>656</v>
      </c>
    </row>
    <row r="131" customFormat="false" ht="27.75" hidden="false" customHeight="true" outlineLevel="0" collapsed="false">
      <c r="A131" s="30" t="s">
        <v>657</v>
      </c>
      <c r="B131" s="31" t="s">
        <v>572</v>
      </c>
      <c r="C131" s="31" t="s">
        <v>249</v>
      </c>
      <c r="D131" s="31" t="s">
        <v>658</v>
      </c>
      <c r="E131" s="31" t="s">
        <v>655</v>
      </c>
      <c r="F131" s="11" t="s">
        <v>8</v>
      </c>
      <c r="G131" s="11" t="s">
        <v>252</v>
      </c>
      <c r="H131" s="11" t="s">
        <v>142</v>
      </c>
      <c r="I131" s="11" t="s">
        <v>105</v>
      </c>
      <c r="J131" s="11" t="s">
        <v>65</v>
      </c>
      <c r="K131" s="11" t="s">
        <v>37</v>
      </c>
      <c r="L131" s="11" t="s">
        <v>113</v>
      </c>
      <c r="M131" s="31" t="s">
        <v>99</v>
      </c>
      <c r="N131" s="31"/>
    </row>
    <row r="132" customFormat="false" ht="21.75" hidden="false" customHeight="true" outlineLevel="0" collapsed="false">
      <c r="A132" s="28" t="s">
        <v>659</v>
      </c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</row>
    <row r="133" customFormat="false" ht="18" hidden="false" customHeight="true" outlineLevel="0" collapsed="false">
      <c r="A133" s="29" t="s">
        <v>660</v>
      </c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</row>
    <row r="134" customFormat="false" ht="27.75" hidden="false" customHeight="true" outlineLevel="0" collapsed="false">
      <c r="A134" s="32" t="s">
        <v>661</v>
      </c>
      <c r="B134" s="33" t="s">
        <v>662</v>
      </c>
      <c r="C134" s="33" t="s">
        <v>663</v>
      </c>
      <c r="D134" s="33" t="s">
        <v>664</v>
      </c>
      <c r="E134" s="33" t="s">
        <v>665</v>
      </c>
      <c r="F134" s="9" t="s">
        <v>4</v>
      </c>
      <c r="G134" s="9" t="s">
        <v>666</v>
      </c>
      <c r="H134" s="9" t="s">
        <v>667</v>
      </c>
      <c r="I134" s="9" t="s">
        <v>92</v>
      </c>
      <c r="J134" s="9" t="s">
        <v>65</v>
      </c>
      <c r="K134" s="9" t="s">
        <v>37</v>
      </c>
      <c r="L134" s="9" t="s">
        <v>187</v>
      </c>
      <c r="M134" s="33" t="s">
        <v>668</v>
      </c>
      <c r="N134" s="33" t="s">
        <v>669</v>
      </c>
    </row>
    <row r="135" customFormat="false" ht="27.75" hidden="false" customHeight="true" outlineLevel="0" collapsed="false">
      <c r="A135" s="30" t="s">
        <v>670</v>
      </c>
      <c r="B135" s="31" t="s">
        <v>662</v>
      </c>
      <c r="C135" s="31" t="s">
        <v>663</v>
      </c>
      <c r="D135" s="31" t="s">
        <v>671</v>
      </c>
      <c r="E135" s="31" t="s">
        <v>672</v>
      </c>
      <c r="F135" s="11" t="s">
        <v>4</v>
      </c>
      <c r="G135" s="11" t="s">
        <v>62</v>
      </c>
      <c r="H135" s="11" t="s">
        <v>673</v>
      </c>
      <c r="I135" s="11" t="s">
        <v>166</v>
      </c>
      <c r="J135" s="11" t="s">
        <v>65</v>
      </c>
      <c r="K135" s="11" t="s">
        <v>35</v>
      </c>
      <c r="L135" s="11" t="s">
        <v>86</v>
      </c>
      <c r="M135" s="31" t="s">
        <v>674</v>
      </c>
      <c r="N135" s="31" t="s">
        <v>675</v>
      </c>
    </row>
    <row r="136" customFormat="false" ht="27.75" hidden="false" customHeight="true" outlineLevel="0" collapsed="false">
      <c r="A136" s="32" t="s">
        <v>676</v>
      </c>
      <c r="B136" s="33" t="s">
        <v>662</v>
      </c>
      <c r="C136" s="33" t="s">
        <v>663</v>
      </c>
      <c r="D136" s="33" t="s">
        <v>677</v>
      </c>
      <c r="E136" s="33" t="s">
        <v>678</v>
      </c>
      <c r="F136" s="9" t="s">
        <v>4</v>
      </c>
      <c r="G136" s="9" t="s">
        <v>62</v>
      </c>
      <c r="H136" s="9" t="s">
        <v>679</v>
      </c>
      <c r="I136" s="9" t="s">
        <v>166</v>
      </c>
      <c r="J136" s="9" t="s">
        <v>65</v>
      </c>
      <c r="K136" s="9" t="s">
        <v>37</v>
      </c>
      <c r="L136" s="9" t="s">
        <v>86</v>
      </c>
      <c r="M136" s="33" t="s">
        <v>674</v>
      </c>
      <c r="N136" s="33" t="s">
        <v>680</v>
      </c>
    </row>
    <row r="137" customFormat="false" ht="27.75" hidden="false" customHeight="true" outlineLevel="0" collapsed="false">
      <c r="A137" s="30" t="s">
        <v>681</v>
      </c>
      <c r="B137" s="31" t="s">
        <v>662</v>
      </c>
      <c r="C137" s="31" t="s">
        <v>663</v>
      </c>
      <c r="D137" s="31" t="s">
        <v>682</v>
      </c>
      <c r="E137" s="31" t="s">
        <v>683</v>
      </c>
      <c r="F137" s="11" t="s">
        <v>4</v>
      </c>
      <c r="G137" s="11" t="s">
        <v>62</v>
      </c>
      <c r="H137" s="11" t="s">
        <v>613</v>
      </c>
      <c r="I137" s="11" t="s">
        <v>684</v>
      </c>
      <c r="J137" s="11" t="s">
        <v>65</v>
      </c>
      <c r="K137" s="11" t="s">
        <v>35</v>
      </c>
      <c r="L137" s="11" t="s">
        <v>187</v>
      </c>
      <c r="M137" s="31" t="s">
        <v>685</v>
      </c>
      <c r="N137" s="31" t="s">
        <v>686</v>
      </c>
    </row>
    <row r="138" customFormat="false" ht="18" hidden="false" customHeight="true" outlineLevel="0" collapsed="false">
      <c r="A138" s="29" t="s">
        <v>687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</row>
    <row r="139" customFormat="false" ht="27.75" hidden="false" customHeight="true" outlineLevel="0" collapsed="false">
      <c r="A139" s="30" t="s">
        <v>688</v>
      </c>
      <c r="B139" s="31" t="s">
        <v>662</v>
      </c>
      <c r="C139" s="31" t="s">
        <v>689</v>
      </c>
      <c r="D139" s="31" t="s">
        <v>690</v>
      </c>
      <c r="E139" s="31" t="s">
        <v>691</v>
      </c>
      <c r="F139" s="11" t="s">
        <v>6</v>
      </c>
      <c r="G139" s="11" t="s">
        <v>62</v>
      </c>
      <c r="H139" s="11" t="s">
        <v>229</v>
      </c>
      <c r="I139" s="11" t="s">
        <v>99</v>
      </c>
      <c r="J139" s="11" t="s">
        <v>65</v>
      </c>
      <c r="K139" s="11" t="s">
        <v>33</v>
      </c>
      <c r="L139" s="11" t="s">
        <v>86</v>
      </c>
      <c r="M139" s="31" t="s">
        <v>692</v>
      </c>
      <c r="N139" s="31" t="s">
        <v>693</v>
      </c>
    </row>
    <row r="140" customFormat="false" ht="27.75" hidden="false" customHeight="true" outlineLevel="0" collapsed="false">
      <c r="A140" s="32" t="s">
        <v>694</v>
      </c>
      <c r="B140" s="33" t="s">
        <v>662</v>
      </c>
      <c r="C140" s="33" t="s">
        <v>689</v>
      </c>
      <c r="D140" s="33" t="s">
        <v>695</v>
      </c>
      <c r="E140" s="33" t="s">
        <v>696</v>
      </c>
      <c r="F140" s="9" t="s">
        <v>4</v>
      </c>
      <c r="G140" s="9" t="s">
        <v>62</v>
      </c>
      <c r="H140" s="9" t="s">
        <v>406</v>
      </c>
      <c r="I140" s="9" t="s">
        <v>166</v>
      </c>
      <c r="J140" s="9" t="s">
        <v>65</v>
      </c>
      <c r="K140" s="9" t="s">
        <v>35</v>
      </c>
      <c r="L140" s="9" t="s">
        <v>86</v>
      </c>
      <c r="M140" s="33" t="s">
        <v>692</v>
      </c>
      <c r="N140" s="33" t="s">
        <v>697</v>
      </c>
    </row>
    <row r="141" customFormat="false" ht="27.75" hidden="false" customHeight="true" outlineLevel="0" collapsed="false">
      <c r="A141" s="30" t="s">
        <v>698</v>
      </c>
      <c r="B141" s="31" t="s">
        <v>662</v>
      </c>
      <c r="C141" s="31" t="s">
        <v>689</v>
      </c>
      <c r="D141" s="31" t="s">
        <v>699</v>
      </c>
      <c r="E141" s="31" t="s">
        <v>700</v>
      </c>
      <c r="F141" s="11" t="s">
        <v>4</v>
      </c>
      <c r="G141" s="11" t="s">
        <v>62</v>
      </c>
      <c r="H141" s="11" t="s">
        <v>679</v>
      </c>
      <c r="I141" s="11" t="s">
        <v>166</v>
      </c>
      <c r="J141" s="11" t="s">
        <v>65</v>
      </c>
      <c r="K141" s="11" t="s">
        <v>37</v>
      </c>
      <c r="L141" s="11" t="s">
        <v>86</v>
      </c>
      <c r="M141" s="31" t="s">
        <v>692</v>
      </c>
      <c r="N141" s="31" t="s">
        <v>701</v>
      </c>
    </row>
    <row r="142" customFormat="false" ht="27.75" hidden="false" customHeight="true" outlineLevel="0" collapsed="false">
      <c r="A142" s="32" t="s">
        <v>702</v>
      </c>
      <c r="B142" s="33" t="s">
        <v>662</v>
      </c>
      <c r="C142" s="33" t="s">
        <v>689</v>
      </c>
      <c r="D142" s="33" t="s">
        <v>703</v>
      </c>
      <c r="E142" s="33" t="s">
        <v>704</v>
      </c>
      <c r="F142" s="9" t="s">
        <v>4</v>
      </c>
      <c r="G142" s="9" t="s">
        <v>62</v>
      </c>
      <c r="H142" s="9" t="s">
        <v>705</v>
      </c>
      <c r="I142" s="9" t="s">
        <v>166</v>
      </c>
      <c r="J142" s="9" t="s">
        <v>65</v>
      </c>
      <c r="K142" s="9" t="s">
        <v>35</v>
      </c>
      <c r="L142" s="9" t="s">
        <v>86</v>
      </c>
      <c r="M142" s="33" t="s">
        <v>692</v>
      </c>
      <c r="N142" s="33" t="s">
        <v>706</v>
      </c>
    </row>
    <row r="143" customFormat="false" ht="27.75" hidden="false" customHeight="true" outlineLevel="0" collapsed="false">
      <c r="A143" s="30" t="s">
        <v>707</v>
      </c>
      <c r="B143" s="31" t="s">
        <v>662</v>
      </c>
      <c r="C143" s="31" t="s">
        <v>689</v>
      </c>
      <c r="D143" s="31" t="s">
        <v>708</v>
      </c>
      <c r="E143" s="31" t="s">
        <v>709</v>
      </c>
      <c r="F143" s="11" t="s">
        <v>4</v>
      </c>
      <c r="G143" s="11" t="s">
        <v>62</v>
      </c>
      <c r="H143" s="11" t="s">
        <v>710</v>
      </c>
      <c r="I143" s="11" t="s">
        <v>166</v>
      </c>
      <c r="J143" s="11" t="s">
        <v>65</v>
      </c>
      <c r="K143" s="11" t="s">
        <v>37</v>
      </c>
      <c r="L143" s="11" t="s">
        <v>86</v>
      </c>
      <c r="M143" s="31" t="s">
        <v>692</v>
      </c>
      <c r="N143" s="31"/>
    </row>
    <row r="144" customFormat="false" ht="27.75" hidden="false" customHeight="true" outlineLevel="0" collapsed="false">
      <c r="A144" s="32" t="s">
        <v>711</v>
      </c>
      <c r="B144" s="33" t="s">
        <v>662</v>
      </c>
      <c r="C144" s="33" t="s">
        <v>689</v>
      </c>
      <c r="D144" s="33" t="s">
        <v>712</v>
      </c>
      <c r="E144" s="33" t="s">
        <v>713</v>
      </c>
      <c r="F144" s="9" t="s">
        <v>4</v>
      </c>
      <c r="G144" s="9" t="s">
        <v>62</v>
      </c>
      <c r="H144" s="9" t="s">
        <v>667</v>
      </c>
      <c r="I144" s="9" t="s">
        <v>684</v>
      </c>
      <c r="J144" s="9" t="s">
        <v>65</v>
      </c>
      <c r="K144" s="9" t="s">
        <v>35</v>
      </c>
      <c r="L144" s="9" t="s">
        <v>187</v>
      </c>
      <c r="M144" s="33" t="s">
        <v>692</v>
      </c>
      <c r="N144" s="33" t="s">
        <v>714</v>
      </c>
    </row>
    <row r="145" customFormat="false" ht="27.75" hidden="false" customHeight="true" outlineLevel="0" collapsed="false">
      <c r="A145" s="30" t="s">
        <v>715</v>
      </c>
      <c r="B145" s="31" t="s">
        <v>662</v>
      </c>
      <c r="C145" s="31" t="s">
        <v>689</v>
      </c>
      <c r="D145" s="31" t="s">
        <v>716</v>
      </c>
      <c r="E145" s="31" t="s">
        <v>717</v>
      </c>
      <c r="F145" s="11" t="s">
        <v>4</v>
      </c>
      <c r="G145" s="11" t="s">
        <v>62</v>
      </c>
      <c r="H145" s="11" t="s">
        <v>165</v>
      </c>
      <c r="I145" s="11" t="s">
        <v>79</v>
      </c>
      <c r="J145" s="11" t="s">
        <v>98</v>
      </c>
      <c r="K145" s="11" t="s">
        <v>99</v>
      </c>
      <c r="L145" s="11" t="s">
        <v>106</v>
      </c>
      <c r="M145" s="31" t="s">
        <v>692</v>
      </c>
      <c r="N145" s="31" t="s">
        <v>718</v>
      </c>
    </row>
    <row r="146" customFormat="false" ht="27.75" hidden="false" customHeight="true" outlineLevel="0" collapsed="false">
      <c r="A146" s="32" t="s">
        <v>719</v>
      </c>
      <c r="B146" s="33" t="s">
        <v>662</v>
      </c>
      <c r="C146" s="33" t="s">
        <v>689</v>
      </c>
      <c r="D146" s="33" t="s">
        <v>720</v>
      </c>
      <c r="E146" s="33" t="s">
        <v>721</v>
      </c>
      <c r="F146" s="9" t="s">
        <v>4</v>
      </c>
      <c r="G146" s="9" t="s">
        <v>62</v>
      </c>
      <c r="H146" s="9" t="s">
        <v>142</v>
      </c>
      <c r="I146" s="9" t="s">
        <v>105</v>
      </c>
      <c r="J146" s="9" t="s">
        <v>65</v>
      </c>
      <c r="K146" s="9" t="s">
        <v>35</v>
      </c>
      <c r="L146" s="9" t="s">
        <v>113</v>
      </c>
      <c r="M146" s="33" t="s">
        <v>692</v>
      </c>
      <c r="N146" s="33" t="s">
        <v>722</v>
      </c>
    </row>
    <row r="147" customFormat="false" ht="27.75" hidden="false" customHeight="true" outlineLevel="0" collapsed="false">
      <c r="A147" s="30" t="s">
        <v>723</v>
      </c>
      <c r="B147" s="31" t="s">
        <v>662</v>
      </c>
      <c r="C147" s="31" t="s">
        <v>689</v>
      </c>
      <c r="D147" s="31" t="s">
        <v>724</v>
      </c>
      <c r="E147" s="31" t="s">
        <v>725</v>
      </c>
      <c r="F147" s="11" t="s">
        <v>7</v>
      </c>
      <c r="G147" s="11" t="s">
        <v>62</v>
      </c>
      <c r="H147" s="11" t="s">
        <v>118</v>
      </c>
      <c r="I147" s="11" t="s">
        <v>99</v>
      </c>
      <c r="J147" s="11" t="s">
        <v>98</v>
      </c>
      <c r="K147" s="11" t="s">
        <v>99</v>
      </c>
      <c r="L147" s="11" t="s">
        <v>287</v>
      </c>
      <c r="M147" s="31" t="s">
        <v>692</v>
      </c>
      <c r="N147" s="31" t="s">
        <v>726</v>
      </c>
    </row>
    <row r="148" customFormat="false" ht="27.75" hidden="false" customHeight="true" outlineLevel="0" collapsed="false">
      <c r="A148" s="32" t="s">
        <v>727</v>
      </c>
      <c r="B148" s="33" t="s">
        <v>662</v>
      </c>
      <c r="C148" s="33" t="s">
        <v>689</v>
      </c>
      <c r="D148" s="33" t="s">
        <v>728</v>
      </c>
      <c r="E148" s="33" t="s">
        <v>729</v>
      </c>
      <c r="F148" s="9" t="s">
        <v>5</v>
      </c>
      <c r="G148" s="9" t="s">
        <v>62</v>
      </c>
      <c r="H148" s="9" t="s">
        <v>165</v>
      </c>
      <c r="I148" s="9" t="s">
        <v>79</v>
      </c>
      <c r="J148" s="9" t="s">
        <v>98</v>
      </c>
      <c r="K148" s="9" t="s">
        <v>99</v>
      </c>
      <c r="L148" s="9" t="s">
        <v>287</v>
      </c>
      <c r="M148" s="33" t="s">
        <v>692</v>
      </c>
      <c r="N148" s="33" t="s">
        <v>730</v>
      </c>
    </row>
    <row r="149" customFormat="false" ht="18" hidden="false" customHeight="true" outlineLevel="0" collapsed="false">
      <c r="A149" s="29" t="s">
        <v>731</v>
      </c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</row>
    <row r="150" customFormat="false" ht="27.75" hidden="false" customHeight="true" outlineLevel="0" collapsed="false">
      <c r="A150" s="32" t="s">
        <v>732</v>
      </c>
      <c r="B150" s="33" t="s">
        <v>662</v>
      </c>
      <c r="C150" s="33" t="s">
        <v>249</v>
      </c>
      <c r="D150" s="33" t="s">
        <v>733</v>
      </c>
      <c r="E150" s="33" t="s">
        <v>734</v>
      </c>
      <c r="F150" s="9" t="s">
        <v>8</v>
      </c>
      <c r="G150" s="9" t="s">
        <v>252</v>
      </c>
      <c r="H150" s="9" t="s">
        <v>253</v>
      </c>
      <c r="I150" s="9" t="s">
        <v>92</v>
      </c>
      <c r="J150" s="9" t="s">
        <v>65</v>
      </c>
      <c r="K150" s="9" t="s">
        <v>37</v>
      </c>
      <c r="L150" s="9" t="s">
        <v>106</v>
      </c>
      <c r="M150" s="33" t="s">
        <v>99</v>
      </c>
      <c r="N150" s="33" t="s">
        <v>735</v>
      </c>
    </row>
    <row r="151" customFormat="false" ht="27.75" hidden="false" customHeight="true" outlineLevel="0" collapsed="false">
      <c r="A151" s="30" t="s">
        <v>736</v>
      </c>
      <c r="B151" s="31" t="s">
        <v>662</v>
      </c>
      <c r="C151" s="31" t="s">
        <v>249</v>
      </c>
      <c r="D151" s="31" t="s">
        <v>737</v>
      </c>
      <c r="E151" s="31" t="s">
        <v>738</v>
      </c>
      <c r="F151" s="11" t="s">
        <v>8</v>
      </c>
      <c r="G151" s="11" t="s">
        <v>252</v>
      </c>
      <c r="H151" s="11" t="s">
        <v>123</v>
      </c>
      <c r="I151" s="11" t="s">
        <v>92</v>
      </c>
      <c r="J151" s="11" t="s">
        <v>65</v>
      </c>
      <c r="K151" s="11" t="s">
        <v>37</v>
      </c>
      <c r="L151" s="11" t="s">
        <v>113</v>
      </c>
      <c r="M151" s="31" t="s">
        <v>99</v>
      </c>
      <c r="N151" s="31" t="s">
        <v>739</v>
      </c>
    </row>
    <row r="152" customFormat="false" ht="27.75" hidden="false" customHeight="true" outlineLevel="0" collapsed="false">
      <c r="A152" s="32" t="s">
        <v>740</v>
      </c>
      <c r="B152" s="33" t="s">
        <v>662</v>
      </c>
      <c r="C152" s="33" t="s">
        <v>249</v>
      </c>
      <c r="D152" s="33" t="s">
        <v>741</v>
      </c>
      <c r="E152" s="33" t="s">
        <v>742</v>
      </c>
      <c r="F152" s="9" t="s">
        <v>8</v>
      </c>
      <c r="G152" s="9" t="s">
        <v>252</v>
      </c>
      <c r="H152" s="9" t="s">
        <v>142</v>
      </c>
      <c r="I152" s="9" t="s">
        <v>105</v>
      </c>
      <c r="J152" s="9" t="s">
        <v>65</v>
      </c>
      <c r="K152" s="9" t="s">
        <v>35</v>
      </c>
      <c r="L152" s="9" t="s">
        <v>113</v>
      </c>
      <c r="M152" s="33" t="s">
        <v>99</v>
      </c>
      <c r="N152" s="33" t="s">
        <v>743</v>
      </c>
    </row>
    <row r="153" customFormat="false" ht="27.75" hidden="false" customHeight="true" outlineLevel="0" collapsed="false">
      <c r="A153" s="30" t="s">
        <v>744</v>
      </c>
      <c r="B153" s="31" t="s">
        <v>662</v>
      </c>
      <c r="C153" s="31" t="s">
        <v>249</v>
      </c>
      <c r="D153" s="31" t="s">
        <v>745</v>
      </c>
      <c r="E153" s="31" t="s">
        <v>746</v>
      </c>
      <c r="F153" s="11" t="s">
        <v>8</v>
      </c>
      <c r="G153" s="11" t="s">
        <v>252</v>
      </c>
      <c r="H153" s="11" t="s">
        <v>151</v>
      </c>
      <c r="I153" s="11" t="s">
        <v>747</v>
      </c>
      <c r="J153" s="11" t="s">
        <v>98</v>
      </c>
      <c r="K153" s="11" t="s">
        <v>99</v>
      </c>
      <c r="L153" s="11" t="s">
        <v>352</v>
      </c>
      <c r="M153" s="31" t="s">
        <v>99</v>
      </c>
      <c r="N153" s="31" t="s">
        <v>748</v>
      </c>
    </row>
    <row r="154" customFormat="false" ht="27.75" hidden="false" customHeight="true" outlineLevel="0" collapsed="false">
      <c r="A154" s="32" t="s">
        <v>749</v>
      </c>
      <c r="B154" s="33" t="s">
        <v>662</v>
      </c>
      <c r="C154" s="33" t="s">
        <v>249</v>
      </c>
      <c r="D154" s="33" t="s">
        <v>750</v>
      </c>
      <c r="E154" s="33" t="s">
        <v>751</v>
      </c>
      <c r="F154" s="9" t="s">
        <v>8</v>
      </c>
      <c r="G154" s="9" t="s">
        <v>252</v>
      </c>
      <c r="H154" s="9" t="s">
        <v>667</v>
      </c>
      <c r="I154" s="9" t="s">
        <v>752</v>
      </c>
      <c r="J154" s="9" t="s">
        <v>98</v>
      </c>
      <c r="K154" s="9" t="s">
        <v>99</v>
      </c>
      <c r="L154" s="9" t="s">
        <v>187</v>
      </c>
      <c r="M154" s="33" t="s">
        <v>99</v>
      </c>
      <c r="N154" s="33" t="s">
        <v>753</v>
      </c>
    </row>
    <row r="155" customFormat="false" ht="27.75" hidden="false" customHeight="true" outlineLevel="0" collapsed="false">
      <c r="A155" s="30" t="s">
        <v>754</v>
      </c>
      <c r="B155" s="31" t="s">
        <v>662</v>
      </c>
      <c r="C155" s="31" t="s">
        <v>249</v>
      </c>
      <c r="D155" s="31" t="s">
        <v>755</v>
      </c>
      <c r="E155" s="31" t="s">
        <v>756</v>
      </c>
      <c r="F155" s="11" t="s">
        <v>8</v>
      </c>
      <c r="G155" s="11" t="s">
        <v>252</v>
      </c>
      <c r="H155" s="11" t="s">
        <v>613</v>
      </c>
      <c r="I155" s="11" t="s">
        <v>263</v>
      </c>
      <c r="J155" s="11" t="s">
        <v>98</v>
      </c>
      <c r="K155" s="11" t="s">
        <v>99</v>
      </c>
      <c r="L155" s="11" t="s">
        <v>352</v>
      </c>
      <c r="M155" s="31" t="s">
        <v>99</v>
      </c>
      <c r="N155" s="31" t="s">
        <v>757</v>
      </c>
    </row>
  </sheetData>
  <mergeCells count="26">
    <mergeCell ref="A1:N1"/>
    <mergeCell ref="A3:N3"/>
    <mergeCell ref="A4:N4"/>
    <mergeCell ref="A15:N15"/>
    <mergeCell ref="A25:N25"/>
    <mergeCell ref="A33:N33"/>
    <mergeCell ref="A41:N41"/>
    <mergeCell ref="A47:N47"/>
    <mergeCell ref="A48:N48"/>
    <mergeCell ref="A58:N58"/>
    <mergeCell ref="A65:N65"/>
    <mergeCell ref="A73:N73"/>
    <mergeCell ref="A74:N74"/>
    <mergeCell ref="A80:N80"/>
    <mergeCell ref="A83:N83"/>
    <mergeCell ref="A89:N89"/>
    <mergeCell ref="A97:N97"/>
    <mergeCell ref="A101:N101"/>
    <mergeCell ref="A110:N110"/>
    <mergeCell ref="A111:N111"/>
    <mergeCell ref="A118:N118"/>
    <mergeCell ref="A122:N122"/>
    <mergeCell ref="A132:N132"/>
    <mergeCell ref="A133:N133"/>
    <mergeCell ref="A138:N138"/>
    <mergeCell ref="A149:N1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B35"/>
    <pageSetUpPr fitToPage="false"/>
  </sheetPr>
  <dimension ref="A1:N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3"/>
    <col collapsed="false" customWidth="true" hidden="false" outlineLevel="0" max="3" min="3" style="1" width="16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7"/>
    <col collapsed="false" customWidth="true" hidden="false" outlineLevel="0" max="8" min="7" style="1" width="12"/>
    <col collapsed="false" customWidth="true" hidden="false" outlineLevel="0" max="9" min="9" style="1" width="8"/>
    <col collapsed="false" customWidth="true" hidden="false" outlineLevel="0" max="11" min="10" style="1" width="7"/>
    <col collapsed="false" customWidth="true" hidden="false" outlineLevel="0" max="12" min="12" style="1" width="9"/>
    <col collapsed="false" customWidth="true" hidden="false" outlineLevel="0" max="13" min="13" style="1" width="12"/>
    <col collapsed="false" customWidth="true" hidden="false" outlineLevel="0" max="14" min="14" style="1" width="30"/>
  </cols>
  <sheetData>
    <row r="1" customFormat="false" ht="27.75" hidden="false" customHeight="true" outlineLevel="0" collapsed="false">
      <c r="A1" s="27" t="s">
        <v>758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customFormat="false" ht="24" hidden="false" customHeight="true" outlineLevel="0" collapsed="false">
      <c r="A2" s="17" t="s">
        <v>42</v>
      </c>
      <c r="B2" s="17" t="s">
        <v>3</v>
      </c>
      <c r="C2" s="17" t="s">
        <v>43</v>
      </c>
      <c r="D2" s="17" t="s">
        <v>44</v>
      </c>
      <c r="E2" s="17" t="s">
        <v>45</v>
      </c>
      <c r="F2" s="17" t="s">
        <v>46</v>
      </c>
      <c r="G2" s="17" t="s">
        <v>47</v>
      </c>
      <c r="H2" s="17" t="s">
        <v>48</v>
      </c>
      <c r="I2" s="17" t="s">
        <v>49</v>
      </c>
      <c r="J2" s="17" t="s">
        <v>50</v>
      </c>
      <c r="K2" s="17" t="s">
        <v>51</v>
      </c>
      <c r="L2" s="17" t="s">
        <v>52</v>
      </c>
      <c r="M2" s="17" t="s">
        <v>53</v>
      </c>
      <c r="N2" s="17" t="s">
        <v>54</v>
      </c>
    </row>
    <row r="3" customFormat="false" ht="21.75" hidden="false" customHeight="true" outlineLevel="0" collapsed="false">
      <c r="A3" s="34" t="s">
        <v>759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</row>
    <row r="4" customFormat="false" ht="18" hidden="false" customHeight="true" outlineLevel="0" collapsed="false">
      <c r="A4" s="29" t="s">
        <v>760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27.75" hidden="false" customHeight="true" outlineLevel="0" collapsed="false">
      <c r="A5" s="35" t="s">
        <v>761</v>
      </c>
      <c r="B5" s="31" t="s">
        <v>762</v>
      </c>
      <c r="C5" s="31" t="s">
        <v>763</v>
      </c>
      <c r="D5" s="31" t="s">
        <v>764</v>
      </c>
      <c r="E5" s="31" t="s">
        <v>765</v>
      </c>
      <c r="F5" s="11" t="s">
        <v>4</v>
      </c>
      <c r="G5" s="11" t="s">
        <v>62</v>
      </c>
      <c r="H5" s="11" t="s">
        <v>766</v>
      </c>
      <c r="I5" s="11" t="s">
        <v>166</v>
      </c>
      <c r="J5" s="11" t="s">
        <v>65</v>
      </c>
      <c r="K5" s="11" t="s">
        <v>35</v>
      </c>
      <c r="L5" s="11" t="s">
        <v>86</v>
      </c>
      <c r="M5" s="31" t="s">
        <v>767</v>
      </c>
      <c r="N5" s="31" t="s">
        <v>768</v>
      </c>
    </row>
    <row r="6" customFormat="false" ht="27.75" hidden="false" customHeight="true" outlineLevel="0" collapsed="false">
      <c r="A6" s="36" t="s">
        <v>769</v>
      </c>
      <c r="B6" s="33" t="s">
        <v>762</v>
      </c>
      <c r="C6" s="33" t="s">
        <v>763</v>
      </c>
      <c r="D6" s="33" t="s">
        <v>770</v>
      </c>
      <c r="E6" s="33" t="s">
        <v>771</v>
      </c>
      <c r="F6" s="9" t="s">
        <v>4</v>
      </c>
      <c r="G6" s="9" t="s">
        <v>62</v>
      </c>
      <c r="H6" s="9" t="s">
        <v>772</v>
      </c>
      <c r="I6" s="9" t="s">
        <v>166</v>
      </c>
      <c r="J6" s="9" t="s">
        <v>65</v>
      </c>
      <c r="K6" s="9" t="s">
        <v>35</v>
      </c>
      <c r="L6" s="9" t="s">
        <v>86</v>
      </c>
      <c r="M6" s="33" t="s">
        <v>773</v>
      </c>
      <c r="N6" s="33" t="s">
        <v>774</v>
      </c>
    </row>
    <row r="7" customFormat="false" ht="27.75" hidden="false" customHeight="true" outlineLevel="0" collapsed="false">
      <c r="A7" s="35" t="s">
        <v>775</v>
      </c>
      <c r="B7" s="31" t="s">
        <v>762</v>
      </c>
      <c r="C7" s="31" t="s">
        <v>763</v>
      </c>
      <c r="D7" s="31" t="s">
        <v>776</v>
      </c>
      <c r="E7" s="31" t="s">
        <v>777</v>
      </c>
      <c r="F7" s="11" t="s">
        <v>4</v>
      </c>
      <c r="G7" s="11" t="s">
        <v>62</v>
      </c>
      <c r="H7" s="11" t="s">
        <v>778</v>
      </c>
      <c r="I7" s="11" t="s">
        <v>684</v>
      </c>
      <c r="J7" s="11" t="s">
        <v>65</v>
      </c>
      <c r="K7" s="11" t="s">
        <v>35</v>
      </c>
      <c r="L7" s="11" t="s">
        <v>86</v>
      </c>
      <c r="M7" s="31" t="s">
        <v>779</v>
      </c>
      <c r="N7" s="31" t="s">
        <v>780</v>
      </c>
    </row>
    <row r="8" customFormat="false" ht="27.75" hidden="false" customHeight="true" outlineLevel="0" collapsed="false">
      <c r="A8" s="36" t="s">
        <v>781</v>
      </c>
      <c r="B8" s="33" t="s">
        <v>762</v>
      </c>
      <c r="C8" s="33" t="s">
        <v>763</v>
      </c>
      <c r="D8" s="33" t="s">
        <v>782</v>
      </c>
      <c r="E8" s="33" t="s">
        <v>783</v>
      </c>
      <c r="F8" s="9" t="s">
        <v>4</v>
      </c>
      <c r="G8" s="9" t="s">
        <v>223</v>
      </c>
      <c r="H8" s="9" t="s">
        <v>667</v>
      </c>
      <c r="I8" s="9" t="s">
        <v>241</v>
      </c>
      <c r="J8" s="9" t="s">
        <v>65</v>
      </c>
      <c r="K8" s="9" t="s">
        <v>37</v>
      </c>
      <c r="L8" s="9" t="s">
        <v>187</v>
      </c>
      <c r="M8" s="33" t="s">
        <v>784</v>
      </c>
      <c r="N8" s="33" t="s">
        <v>785</v>
      </c>
    </row>
    <row r="9" customFormat="false" ht="27.75" hidden="false" customHeight="true" outlineLevel="0" collapsed="false">
      <c r="A9" s="35" t="s">
        <v>786</v>
      </c>
      <c r="B9" s="31" t="s">
        <v>762</v>
      </c>
      <c r="C9" s="31" t="s">
        <v>763</v>
      </c>
      <c r="D9" s="31" t="s">
        <v>787</v>
      </c>
      <c r="E9" s="31" t="s">
        <v>788</v>
      </c>
      <c r="F9" s="11" t="s">
        <v>4</v>
      </c>
      <c r="G9" s="11" t="s">
        <v>223</v>
      </c>
      <c r="H9" s="11" t="s">
        <v>177</v>
      </c>
      <c r="I9" s="11" t="s">
        <v>241</v>
      </c>
      <c r="J9" s="11" t="s">
        <v>65</v>
      </c>
      <c r="K9" s="11" t="s">
        <v>37</v>
      </c>
      <c r="L9" s="11" t="s">
        <v>187</v>
      </c>
      <c r="M9" s="31" t="s">
        <v>789</v>
      </c>
      <c r="N9" s="31" t="s">
        <v>790</v>
      </c>
    </row>
    <row r="10" customFormat="false" ht="27.75" hidden="false" customHeight="true" outlineLevel="0" collapsed="false">
      <c r="A10" s="36" t="s">
        <v>791</v>
      </c>
      <c r="B10" s="33" t="s">
        <v>762</v>
      </c>
      <c r="C10" s="33" t="s">
        <v>763</v>
      </c>
      <c r="D10" s="33" t="s">
        <v>792</v>
      </c>
      <c r="E10" s="33" t="s">
        <v>793</v>
      </c>
      <c r="F10" s="9" t="s">
        <v>4</v>
      </c>
      <c r="G10" s="9" t="s">
        <v>223</v>
      </c>
      <c r="H10" s="9" t="s">
        <v>177</v>
      </c>
      <c r="I10" s="9" t="s">
        <v>241</v>
      </c>
      <c r="J10" s="9" t="s">
        <v>65</v>
      </c>
      <c r="K10" s="9" t="s">
        <v>37</v>
      </c>
      <c r="L10" s="9" t="s">
        <v>187</v>
      </c>
      <c r="M10" s="33" t="s">
        <v>794</v>
      </c>
      <c r="N10" s="33"/>
    </row>
    <row r="11" customFormat="false" ht="27.75" hidden="false" customHeight="true" outlineLevel="0" collapsed="false">
      <c r="A11" s="35" t="s">
        <v>795</v>
      </c>
      <c r="B11" s="31" t="s">
        <v>762</v>
      </c>
      <c r="C11" s="31" t="s">
        <v>763</v>
      </c>
      <c r="D11" s="31" t="s">
        <v>796</v>
      </c>
      <c r="E11" s="31" t="s">
        <v>797</v>
      </c>
      <c r="F11" s="11" t="s">
        <v>4</v>
      </c>
      <c r="G11" s="11" t="s">
        <v>223</v>
      </c>
      <c r="H11" s="11" t="s">
        <v>142</v>
      </c>
      <c r="I11" s="11" t="s">
        <v>798</v>
      </c>
      <c r="J11" s="11" t="s">
        <v>65</v>
      </c>
      <c r="K11" s="11" t="s">
        <v>37</v>
      </c>
      <c r="L11" s="11" t="s">
        <v>352</v>
      </c>
      <c r="M11" s="31" t="s">
        <v>799</v>
      </c>
      <c r="N11" s="31" t="s">
        <v>800</v>
      </c>
    </row>
    <row r="12" customFormat="false" ht="27.75" hidden="false" customHeight="true" outlineLevel="0" collapsed="false">
      <c r="A12" s="36" t="s">
        <v>801</v>
      </c>
      <c r="B12" s="33" t="s">
        <v>762</v>
      </c>
      <c r="C12" s="33" t="s">
        <v>763</v>
      </c>
      <c r="D12" s="33" t="s">
        <v>802</v>
      </c>
      <c r="E12" s="33" t="s">
        <v>803</v>
      </c>
      <c r="F12" s="9" t="s">
        <v>4</v>
      </c>
      <c r="G12" s="9" t="s">
        <v>223</v>
      </c>
      <c r="H12" s="9" t="s">
        <v>142</v>
      </c>
      <c r="I12" s="9" t="s">
        <v>105</v>
      </c>
      <c r="J12" s="9" t="s">
        <v>65</v>
      </c>
      <c r="K12" s="9" t="s">
        <v>35</v>
      </c>
      <c r="L12" s="9" t="s">
        <v>113</v>
      </c>
      <c r="M12" s="33" t="s">
        <v>804</v>
      </c>
      <c r="N12" s="33" t="s">
        <v>805</v>
      </c>
    </row>
    <row r="13" customFormat="false" ht="18" hidden="false" customHeight="true" outlineLevel="0" collapsed="false">
      <c r="A13" s="29" t="s">
        <v>806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</row>
    <row r="14" customFormat="false" ht="27.75" hidden="false" customHeight="true" outlineLevel="0" collapsed="false">
      <c r="A14" s="36" t="s">
        <v>807</v>
      </c>
      <c r="B14" s="33" t="s">
        <v>762</v>
      </c>
      <c r="C14" s="33" t="s">
        <v>763</v>
      </c>
      <c r="D14" s="33" t="s">
        <v>808</v>
      </c>
      <c r="E14" s="33" t="s">
        <v>809</v>
      </c>
      <c r="F14" s="9" t="s">
        <v>6</v>
      </c>
      <c r="G14" s="9" t="s">
        <v>62</v>
      </c>
      <c r="H14" s="9" t="s">
        <v>229</v>
      </c>
      <c r="I14" s="9" t="s">
        <v>99</v>
      </c>
      <c r="J14" s="9" t="s">
        <v>65</v>
      </c>
      <c r="K14" s="9" t="s">
        <v>33</v>
      </c>
      <c r="L14" s="9" t="s">
        <v>86</v>
      </c>
      <c r="M14" s="33" t="s">
        <v>810</v>
      </c>
      <c r="N14" s="33" t="s">
        <v>811</v>
      </c>
    </row>
    <row r="15" customFormat="false" ht="27.75" hidden="false" customHeight="true" outlineLevel="0" collapsed="false">
      <c r="A15" s="35" t="s">
        <v>812</v>
      </c>
      <c r="B15" s="31" t="s">
        <v>762</v>
      </c>
      <c r="C15" s="31" t="s">
        <v>763</v>
      </c>
      <c r="D15" s="31" t="s">
        <v>813</v>
      </c>
      <c r="E15" s="31" t="s">
        <v>814</v>
      </c>
      <c r="F15" s="11" t="s">
        <v>5</v>
      </c>
      <c r="G15" s="11" t="s">
        <v>62</v>
      </c>
      <c r="H15" s="11" t="s">
        <v>165</v>
      </c>
      <c r="I15" s="11" t="s">
        <v>79</v>
      </c>
      <c r="J15" s="11" t="s">
        <v>98</v>
      </c>
      <c r="K15" s="11" t="s">
        <v>99</v>
      </c>
      <c r="L15" s="11" t="s">
        <v>287</v>
      </c>
      <c r="M15" s="31" t="s">
        <v>815</v>
      </c>
      <c r="N15" s="31" t="s">
        <v>816</v>
      </c>
    </row>
    <row r="16" customFormat="false" ht="27.75" hidden="false" customHeight="true" outlineLevel="0" collapsed="false">
      <c r="A16" s="36" t="s">
        <v>817</v>
      </c>
      <c r="B16" s="33" t="s">
        <v>762</v>
      </c>
      <c r="C16" s="33" t="s">
        <v>763</v>
      </c>
      <c r="D16" s="33" t="s">
        <v>818</v>
      </c>
      <c r="E16" s="33" t="s">
        <v>819</v>
      </c>
      <c r="F16" s="9" t="s">
        <v>4</v>
      </c>
      <c r="G16" s="9" t="s">
        <v>62</v>
      </c>
      <c r="H16" s="9" t="s">
        <v>165</v>
      </c>
      <c r="I16" s="9" t="s">
        <v>79</v>
      </c>
      <c r="J16" s="9" t="s">
        <v>98</v>
      </c>
      <c r="K16" s="9" t="s">
        <v>99</v>
      </c>
      <c r="L16" s="9" t="s">
        <v>86</v>
      </c>
      <c r="M16" s="33" t="s">
        <v>815</v>
      </c>
      <c r="N16" s="33" t="s">
        <v>820</v>
      </c>
    </row>
    <row r="17" customFormat="false" ht="27.75" hidden="false" customHeight="true" outlineLevel="0" collapsed="false">
      <c r="A17" s="35" t="s">
        <v>821</v>
      </c>
      <c r="B17" s="31" t="s">
        <v>762</v>
      </c>
      <c r="C17" s="31" t="s">
        <v>763</v>
      </c>
      <c r="D17" s="31" t="s">
        <v>822</v>
      </c>
      <c r="E17" s="31" t="s">
        <v>823</v>
      </c>
      <c r="F17" s="11" t="s">
        <v>4</v>
      </c>
      <c r="G17" s="11" t="s">
        <v>62</v>
      </c>
      <c r="H17" s="11" t="s">
        <v>142</v>
      </c>
      <c r="I17" s="11" t="s">
        <v>73</v>
      </c>
      <c r="J17" s="11" t="s">
        <v>65</v>
      </c>
      <c r="K17" s="11" t="s">
        <v>37</v>
      </c>
      <c r="L17" s="11" t="s">
        <v>106</v>
      </c>
      <c r="M17" s="31" t="s">
        <v>815</v>
      </c>
      <c r="N17" s="31" t="s">
        <v>824</v>
      </c>
    </row>
    <row r="18" customFormat="false" ht="27.75" hidden="false" customHeight="true" outlineLevel="0" collapsed="false">
      <c r="A18" s="36" t="s">
        <v>825</v>
      </c>
      <c r="B18" s="33" t="s">
        <v>762</v>
      </c>
      <c r="C18" s="33" t="s">
        <v>763</v>
      </c>
      <c r="D18" s="33" t="s">
        <v>826</v>
      </c>
      <c r="E18" s="33" t="s">
        <v>827</v>
      </c>
      <c r="F18" s="9" t="s">
        <v>6</v>
      </c>
      <c r="G18" s="9" t="s">
        <v>280</v>
      </c>
      <c r="H18" s="9" t="s">
        <v>118</v>
      </c>
      <c r="I18" s="9" t="s">
        <v>99</v>
      </c>
      <c r="J18" s="9" t="s">
        <v>65</v>
      </c>
      <c r="K18" s="9" t="s">
        <v>33</v>
      </c>
      <c r="L18" s="9" t="s">
        <v>66</v>
      </c>
      <c r="M18" s="33" t="s">
        <v>828</v>
      </c>
      <c r="N18" s="33" t="s">
        <v>829</v>
      </c>
    </row>
    <row r="19" customFormat="false" ht="27.75" hidden="false" customHeight="true" outlineLevel="0" collapsed="false">
      <c r="A19" s="35" t="s">
        <v>830</v>
      </c>
      <c r="B19" s="31" t="s">
        <v>762</v>
      </c>
      <c r="C19" s="31" t="s">
        <v>763</v>
      </c>
      <c r="D19" s="31" t="s">
        <v>831</v>
      </c>
      <c r="E19" s="31" t="s">
        <v>832</v>
      </c>
      <c r="F19" s="11" t="s">
        <v>7</v>
      </c>
      <c r="G19" s="11" t="s">
        <v>280</v>
      </c>
      <c r="H19" s="11" t="s">
        <v>118</v>
      </c>
      <c r="I19" s="11" t="s">
        <v>99</v>
      </c>
      <c r="J19" s="11" t="s">
        <v>98</v>
      </c>
      <c r="K19" s="11" t="s">
        <v>99</v>
      </c>
      <c r="L19" s="11" t="s">
        <v>287</v>
      </c>
      <c r="M19" s="31" t="s">
        <v>828</v>
      </c>
      <c r="N19" s="31" t="s">
        <v>833</v>
      </c>
    </row>
    <row r="20" customFormat="false" ht="27.75" hidden="false" customHeight="true" outlineLevel="0" collapsed="false">
      <c r="A20" s="36" t="s">
        <v>834</v>
      </c>
      <c r="B20" s="33" t="s">
        <v>762</v>
      </c>
      <c r="C20" s="33" t="s">
        <v>835</v>
      </c>
      <c r="D20" s="33" t="s">
        <v>836</v>
      </c>
      <c r="E20" s="33" t="s">
        <v>837</v>
      </c>
      <c r="F20" s="9" t="s">
        <v>8</v>
      </c>
      <c r="G20" s="9" t="s">
        <v>252</v>
      </c>
      <c r="H20" s="9" t="s">
        <v>838</v>
      </c>
      <c r="I20" s="9" t="s">
        <v>166</v>
      </c>
      <c r="J20" s="9" t="s">
        <v>65</v>
      </c>
      <c r="K20" s="9" t="s">
        <v>37</v>
      </c>
      <c r="L20" s="9" t="s">
        <v>86</v>
      </c>
      <c r="M20" s="33" t="s">
        <v>99</v>
      </c>
      <c r="N20" s="33" t="s">
        <v>839</v>
      </c>
    </row>
    <row r="21" customFormat="false" ht="27.75" hidden="false" customHeight="true" outlineLevel="0" collapsed="false">
      <c r="A21" s="35" t="s">
        <v>840</v>
      </c>
      <c r="B21" s="31" t="s">
        <v>762</v>
      </c>
      <c r="C21" s="31" t="s">
        <v>835</v>
      </c>
      <c r="D21" s="31" t="s">
        <v>841</v>
      </c>
      <c r="E21" s="31" t="s">
        <v>842</v>
      </c>
      <c r="F21" s="11" t="s">
        <v>8</v>
      </c>
      <c r="G21" s="11" t="s">
        <v>252</v>
      </c>
      <c r="H21" s="11" t="s">
        <v>253</v>
      </c>
      <c r="I21" s="11" t="s">
        <v>752</v>
      </c>
      <c r="J21" s="11" t="s">
        <v>65</v>
      </c>
      <c r="K21" s="11" t="s">
        <v>37</v>
      </c>
      <c r="L21" s="11" t="s">
        <v>86</v>
      </c>
      <c r="M21" s="31" t="s">
        <v>99</v>
      </c>
      <c r="N21" s="31" t="s">
        <v>843</v>
      </c>
    </row>
    <row r="22" customFormat="false" ht="27.75" hidden="false" customHeight="true" outlineLevel="0" collapsed="false">
      <c r="A22" s="36" t="s">
        <v>844</v>
      </c>
      <c r="B22" s="33" t="s">
        <v>762</v>
      </c>
      <c r="C22" s="33" t="s">
        <v>835</v>
      </c>
      <c r="D22" s="33" t="s">
        <v>845</v>
      </c>
      <c r="E22" s="33" t="s">
        <v>846</v>
      </c>
      <c r="F22" s="9" t="s">
        <v>8</v>
      </c>
      <c r="G22" s="9" t="s">
        <v>252</v>
      </c>
      <c r="H22" s="9" t="s">
        <v>84</v>
      </c>
      <c r="I22" s="9" t="s">
        <v>263</v>
      </c>
      <c r="J22" s="9" t="s">
        <v>65</v>
      </c>
      <c r="K22" s="9" t="s">
        <v>37</v>
      </c>
      <c r="L22" s="9" t="s">
        <v>113</v>
      </c>
      <c r="M22" s="33" t="s">
        <v>99</v>
      </c>
      <c r="N22" s="33" t="s">
        <v>847</v>
      </c>
    </row>
    <row r="23" customFormat="false" ht="27.75" hidden="false" customHeight="true" outlineLevel="0" collapsed="false">
      <c r="A23" s="35" t="s">
        <v>848</v>
      </c>
      <c r="B23" s="31" t="s">
        <v>762</v>
      </c>
      <c r="C23" s="31" t="s">
        <v>835</v>
      </c>
      <c r="D23" s="31" t="s">
        <v>849</v>
      </c>
      <c r="E23" s="31" t="s">
        <v>850</v>
      </c>
      <c r="F23" s="11" t="s">
        <v>8</v>
      </c>
      <c r="G23" s="11" t="s">
        <v>252</v>
      </c>
      <c r="H23" s="11" t="s">
        <v>390</v>
      </c>
      <c r="I23" s="11" t="s">
        <v>92</v>
      </c>
      <c r="J23" s="11" t="s">
        <v>98</v>
      </c>
      <c r="K23" s="11" t="s">
        <v>99</v>
      </c>
      <c r="L23" s="11" t="s">
        <v>113</v>
      </c>
      <c r="M23" s="31" t="s">
        <v>99</v>
      </c>
      <c r="N23" s="31" t="s">
        <v>851</v>
      </c>
    </row>
    <row r="24" customFormat="false" ht="21.75" hidden="false" customHeight="true" outlineLevel="0" collapsed="false">
      <c r="A24" s="34" t="s">
        <v>852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</row>
    <row r="25" customFormat="false" ht="18" hidden="false" customHeight="true" outlineLevel="0" collapsed="false">
      <c r="A25" s="29" t="s">
        <v>853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</row>
    <row r="26" customFormat="false" ht="27.75" hidden="false" customHeight="true" outlineLevel="0" collapsed="false">
      <c r="A26" s="36" t="s">
        <v>854</v>
      </c>
      <c r="B26" s="33" t="s">
        <v>762</v>
      </c>
      <c r="C26" s="33" t="s">
        <v>855</v>
      </c>
      <c r="D26" s="33" t="s">
        <v>856</v>
      </c>
      <c r="E26" s="33" t="s">
        <v>857</v>
      </c>
      <c r="F26" s="9" t="s">
        <v>4</v>
      </c>
      <c r="G26" s="9" t="s">
        <v>62</v>
      </c>
      <c r="H26" s="9" t="s">
        <v>710</v>
      </c>
      <c r="I26" s="9" t="s">
        <v>166</v>
      </c>
      <c r="J26" s="9" t="s">
        <v>65</v>
      </c>
      <c r="K26" s="9" t="s">
        <v>35</v>
      </c>
      <c r="L26" s="9" t="s">
        <v>86</v>
      </c>
      <c r="M26" s="33" t="s">
        <v>858</v>
      </c>
      <c r="N26" s="33" t="s">
        <v>859</v>
      </c>
    </row>
    <row r="27" customFormat="false" ht="27.75" hidden="false" customHeight="true" outlineLevel="0" collapsed="false">
      <c r="A27" s="35" t="s">
        <v>860</v>
      </c>
      <c r="B27" s="31" t="s">
        <v>762</v>
      </c>
      <c r="C27" s="31" t="s">
        <v>855</v>
      </c>
      <c r="D27" s="31" t="s">
        <v>861</v>
      </c>
      <c r="E27" s="31" t="s">
        <v>862</v>
      </c>
      <c r="F27" s="11" t="s">
        <v>4</v>
      </c>
      <c r="G27" s="11" t="s">
        <v>62</v>
      </c>
      <c r="H27" s="11" t="s">
        <v>863</v>
      </c>
      <c r="I27" s="11" t="s">
        <v>166</v>
      </c>
      <c r="J27" s="11" t="s">
        <v>65</v>
      </c>
      <c r="K27" s="11" t="s">
        <v>35</v>
      </c>
      <c r="L27" s="11" t="s">
        <v>86</v>
      </c>
      <c r="M27" s="31" t="s">
        <v>864</v>
      </c>
      <c r="N27" s="31" t="s">
        <v>865</v>
      </c>
    </row>
    <row r="28" customFormat="false" ht="27.75" hidden="false" customHeight="true" outlineLevel="0" collapsed="false">
      <c r="A28" s="36" t="s">
        <v>866</v>
      </c>
      <c r="B28" s="33" t="s">
        <v>762</v>
      </c>
      <c r="C28" s="33" t="s">
        <v>855</v>
      </c>
      <c r="D28" s="33" t="s">
        <v>867</v>
      </c>
      <c r="E28" s="33" t="s">
        <v>868</v>
      </c>
      <c r="F28" s="9" t="s">
        <v>4</v>
      </c>
      <c r="G28" s="9" t="s">
        <v>62</v>
      </c>
      <c r="H28" s="9" t="s">
        <v>63</v>
      </c>
      <c r="I28" s="9" t="s">
        <v>684</v>
      </c>
      <c r="J28" s="9" t="s">
        <v>65</v>
      </c>
      <c r="K28" s="9" t="s">
        <v>35</v>
      </c>
      <c r="L28" s="9" t="s">
        <v>86</v>
      </c>
      <c r="M28" s="33" t="s">
        <v>869</v>
      </c>
      <c r="N28" s="33" t="s">
        <v>870</v>
      </c>
    </row>
    <row r="29" customFormat="false" ht="27.75" hidden="false" customHeight="true" outlineLevel="0" collapsed="false">
      <c r="A29" s="35" t="s">
        <v>871</v>
      </c>
      <c r="B29" s="31" t="s">
        <v>762</v>
      </c>
      <c r="C29" s="31" t="s">
        <v>855</v>
      </c>
      <c r="D29" s="31" t="s">
        <v>872</v>
      </c>
      <c r="E29" s="31" t="s">
        <v>873</v>
      </c>
      <c r="F29" s="11" t="s">
        <v>4</v>
      </c>
      <c r="G29" s="11" t="s">
        <v>223</v>
      </c>
      <c r="H29" s="11" t="s">
        <v>778</v>
      </c>
      <c r="I29" s="11" t="s">
        <v>241</v>
      </c>
      <c r="J29" s="11" t="s">
        <v>65</v>
      </c>
      <c r="K29" s="11" t="s">
        <v>37</v>
      </c>
      <c r="L29" s="11" t="s">
        <v>187</v>
      </c>
      <c r="M29" s="31" t="s">
        <v>874</v>
      </c>
      <c r="N29" s="31" t="s">
        <v>875</v>
      </c>
    </row>
    <row r="30" customFormat="false" ht="27.75" hidden="false" customHeight="true" outlineLevel="0" collapsed="false">
      <c r="A30" s="36" t="s">
        <v>876</v>
      </c>
      <c r="B30" s="33" t="s">
        <v>762</v>
      </c>
      <c r="C30" s="33" t="s">
        <v>855</v>
      </c>
      <c r="D30" s="33" t="s">
        <v>877</v>
      </c>
      <c r="E30" s="33" t="s">
        <v>878</v>
      </c>
      <c r="F30" s="9" t="s">
        <v>4</v>
      </c>
      <c r="G30" s="9" t="s">
        <v>223</v>
      </c>
      <c r="H30" s="9" t="s">
        <v>123</v>
      </c>
      <c r="I30" s="9" t="s">
        <v>241</v>
      </c>
      <c r="J30" s="9" t="s">
        <v>65</v>
      </c>
      <c r="K30" s="9" t="s">
        <v>35</v>
      </c>
      <c r="L30" s="9" t="s">
        <v>187</v>
      </c>
      <c r="M30" s="33" t="s">
        <v>879</v>
      </c>
      <c r="N30" s="33" t="s">
        <v>880</v>
      </c>
    </row>
    <row r="31" customFormat="false" ht="27.75" hidden="false" customHeight="true" outlineLevel="0" collapsed="false">
      <c r="A31" s="35" t="s">
        <v>881</v>
      </c>
      <c r="B31" s="31" t="s">
        <v>762</v>
      </c>
      <c r="C31" s="31" t="s">
        <v>855</v>
      </c>
      <c r="D31" s="31" t="s">
        <v>882</v>
      </c>
      <c r="E31" s="31" t="s">
        <v>883</v>
      </c>
      <c r="F31" s="11" t="s">
        <v>4</v>
      </c>
      <c r="G31" s="11" t="s">
        <v>223</v>
      </c>
      <c r="H31" s="11" t="s">
        <v>123</v>
      </c>
      <c r="I31" s="11" t="s">
        <v>241</v>
      </c>
      <c r="J31" s="11" t="s">
        <v>65</v>
      </c>
      <c r="K31" s="11" t="s">
        <v>35</v>
      </c>
      <c r="L31" s="11" t="s">
        <v>187</v>
      </c>
      <c r="M31" s="31" t="s">
        <v>884</v>
      </c>
      <c r="N31" s="31"/>
    </row>
    <row r="32" customFormat="false" ht="18" hidden="false" customHeight="true" outlineLevel="0" collapsed="false">
      <c r="A32" s="29" t="s">
        <v>885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customFormat="false" ht="27.75" hidden="false" customHeight="true" outlineLevel="0" collapsed="false">
      <c r="A33" s="35" t="s">
        <v>886</v>
      </c>
      <c r="B33" s="31" t="s">
        <v>762</v>
      </c>
      <c r="C33" s="31" t="s">
        <v>855</v>
      </c>
      <c r="D33" s="31" t="s">
        <v>887</v>
      </c>
      <c r="E33" s="31" t="s">
        <v>888</v>
      </c>
      <c r="F33" s="11" t="s">
        <v>6</v>
      </c>
      <c r="G33" s="11" t="s">
        <v>62</v>
      </c>
      <c r="H33" s="11" t="s">
        <v>229</v>
      </c>
      <c r="I33" s="11" t="s">
        <v>99</v>
      </c>
      <c r="J33" s="11" t="s">
        <v>65</v>
      </c>
      <c r="K33" s="11" t="s">
        <v>33</v>
      </c>
      <c r="L33" s="11" t="s">
        <v>86</v>
      </c>
      <c r="M33" s="31" t="s">
        <v>889</v>
      </c>
      <c r="N33" s="31" t="s">
        <v>890</v>
      </c>
    </row>
    <row r="34" customFormat="false" ht="27.75" hidden="false" customHeight="true" outlineLevel="0" collapsed="false">
      <c r="A34" s="36" t="s">
        <v>891</v>
      </c>
      <c r="B34" s="33" t="s">
        <v>762</v>
      </c>
      <c r="C34" s="33" t="s">
        <v>855</v>
      </c>
      <c r="D34" s="33" t="s">
        <v>892</v>
      </c>
      <c r="E34" s="33" t="s">
        <v>893</v>
      </c>
      <c r="F34" s="9" t="s">
        <v>6</v>
      </c>
      <c r="G34" s="9" t="s">
        <v>62</v>
      </c>
      <c r="H34" s="9" t="s">
        <v>229</v>
      </c>
      <c r="I34" s="9" t="s">
        <v>99</v>
      </c>
      <c r="J34" s="9" t="s">
        <v>65</v>
      </c>
      <c r="K34" s="9" t="s">
        <v>33</v>
      </c>
      <c r="L34" s="9" t="s">
        <v>86</v>
      </c>
      <c r="M34" s="33" t="s">
        <v>894</v>
      </c>
      <c r="N34" s="33" t="s">
        <v>895</v>
      </c>
    </row>
    <row r="35" customFormat="false" ht="27.75" hidden="false" customHeight="true" outlineLevel="0" collapsed="false">
      <c r="A35" s="35" t="s">
        <v>896</v>
      </c>
      <c r="B35" s="31" t="s">
        <v>762</v>
      </c>
      <c r="C35" s="31" t="s">
        <v>855</v>
      </c>
      <c r="D35" s="31" t="s">
        <v>897</v>
      </c>
      <c r="E35" s="31" t="s">
        <v>898</v>
      </c>
      <c r="F35" s="11" t="s">
        <v>5</v>
      </c>
      <c r="G35" s="11" t="s">
        <v>62</v>
      </c>
      <c r="H35" s="11" t="s">
        <v>165</v>
      </c>
      <c r="I35" s="11" t="s">
        <v>79</v>
      </c>
      <c r="J35" s="11" t="s">
        <v>98</v>
      </c>
      <c r="K35" s="11" t="s">
        <v>99</v>
      </c>
      <c r="L35" s="11" t="s">
        <v>287</v>
      </c>
      <c r="M35" s="31" t="s">
        <v>899</v>
      </c>
      <c r="N35" s="31" t="s">
        <v>900</v>
      </c>
    </row>
    <row r="36" customFormat="false" ht="27.75" hidden="false" customHeight="true" outlineLevel="0" collapsed="false">
      <c r="A36" s="36" t="s">
        <v>901</v>
      </c>
      <c r="B36" s="33" t="s">
        <v>762</v>
      </c>
      <c r="C36" s="33" t="s">
        <v>855</v>
      </c>
      <c r="D36" s="33" t="s">
        <v>902</v>
      </c>
      <c r="E36" s="33" t="s">
        <v>903</v>
      </c>
      <c r="F36" s="9" t="s">
        <v>4</v>
      </c>
      <c r="G36" s="9" t="s">
        <v>62</v>
      </c>
      <c r="H36" s="9" t="s">
        <v>165</v>
      </c>
      <c r="I36" s="9" t="s">
        <v>79</v>
      </c>
      <c r="J36" s="9" t="s">
        <v>98</v>
      </c>
      <c r="K36" s="9" t="s">
        <v>99</v>
      </c>
      <c r="L36" s="9" t="s">
        <v>86</v>
      </c>
      <c r="M36" s="33" t="s">
        <v>899</v>
      </c>
      <c r="N36" s="33"/>
    </row>
    <row r="37" customFormat="false" ht="27.75" hidden="false" customHeight="true" outlineLevel="0" collapsed="false">
      <c r="A37" s="35" t="s">
        <v>904</v>
      </c>
      <c r="B37" s="31" t="s">
        <v>762</v>
      </c>
      <c r="C37" s="31" t="s">
        <v>855</v>
      </c>
      <c r="D37" s="31" t="s">
        <v>905</v>
      </c>
      <c r="E37" s="31" t="s">
        <v>906</v>
      </c>
      <c r="F37" s="11" t="s">
        <v>4</v>
      </c>
      <c r="G37" s="11" t="s">
        <v>62</v>
      </c>
      <c r="H37" s="11" t="s">
        <v>142</v>
      </c>
      <c r="I37" s="11" t="s">
        <v>73</v>
      </c>
      <c r="J37" s="11" t="s">
        <v>65</v>
      </c>
      <c r="K37" s="11" t="s">
        <v>37</v>
      </c>
      <c r="L37" s="11" t="s">
        <v>106</v>
      </c>
      <c r="M37" s="31" t="s">
        <v>907</v>
      </c>
      <c r="N37" s="31" t="s">
        <v>908</v>
      </c>
    </row>
    <row r="38" customFormat="false" ht="27.75" hidden="false" customHeight="true" outlineLevel="0" collapsed="false">
      <c r="A38" s="36" t="s">
        <v>909</v>
      </c>
      <c r="B38" s="33" t="s">
        <v>762</v>
      </c>
      <c r="C38" s="33" t="s">
        <v>855</v>
      </c>
      <c r="D38" s="33" t="s">
        <v>910</v>
      </c>
      <c r="E38" s="33" t="s">
        <v>911</v>
      </c>
      <c r="F38" s="9" t="s">
        <v>4</v>
      </c>
      <c r="G38" s="9" t="s">
        <v>223</v>
      </c>
      <c r="H38" s="9" t="s">
        <v>613</v>
      </c>
      <c r="I38" s="9" t="s">
        <v>912</v>
      </c>
      <c r="J38" s="9" t="s">
        <v>65</v>
      </c>
      <c r="K38" s="9" t="s">
        <v>37</v>
      </c>
      <c r="L38" s="9" t="s">
        <v>113</v>
      </c>
      <c r="M38" s="33" t="s">
        <v>913</v>
      </c>
      <c r="N38" s="33" t="s">
        <v>914</v>
      </c>
    </row>
    <row r="39" customFormat="false" ht="27.75" hidden="false" customHeight="true" outlineLevel="0" collapsed="false">
      <c r="A39" s="35" t="s">
        <v>915</v>
      </c>
      <c r="B39" s="31" t="s">
        <v>762</v>
      </c>
      <c r="C39" s="31" t="s">
        <v>855</v>
      </c>
      <c r="D39" s="31" t="s">
        <v>916</v>
      </c>
      <c r="E39" s="31" t="s">
        <v>917</v>
      </c>
      <c r="F39" s="11" t="s">
        <v>4</v>
      </c>
      <c r="G39" s="11" t="s">
        <v>62</v>
      </c>
      <c r="H39" s="11" t="s">
        <v>918</v>
      </c>
      <c r="I39" s="11" t="s">
        <v>919</v>
      </c>
      <c r="J39" s="11" t="s">
        <v>65</v>
      </c>
      <c r="K39" s="11" t="s">
        <v>39</v>
      </c>
      <c r="L39" s="11" t="s">
        <v>920</v>
      </c>
      <c r="M39" s="31" t="s">
        <v>907</v>
      </c>
      <c r="N39" s="31" t="s">
        <v>921</v>
      </c>
    </row>
    <row r="40" customFormat="false" ht="27.75" hidden="false" customHeight="true" outlineLevel="0" collapsed="false">
      <c r="A40" s="36" t="s">
        <v>922</v>
      </c>
      <c r="B40" s="33" t="s">
        <v>762</v>
      </c>
      <c r="C40" s="33" t="s">
        <v>855</v>
      </c>
      <c r="D40" s="33" t="s">
        <v>923</v>
      </c>
      <c r="E40" s="33" t="s">
        <v>924</v>
      </c>
      <c r="F40" s="9" t="s">
        <v>7</v>
      </c>
      <c r="G40" s="9" t="s">
        <v>62</v>
      </c>
      <c r="H40" s="9" t="s">
        <v>118</v>
      </c>
      <c r="I40" s="9" t="s">
        <v>99</v>
      </c>
      <c r="J40" s="9" t="s">
        <v>98</v>
      </c>
      <c r="K40" s="9" t="s">
        <v>99</v>
      </c>
      <c r="L40" s="9" t="s">
        <v>287</v>
      </c>
      <c r="M40" s="33" t="s">
        <v>907</v>
      </c>
      <c r="N40" s="33" t="s">
        <v>925</v>
      </c>
    </row>
    <row r="41" customFormat="false" ht="18" hidden="false" customHeight="true" outlineLevel="0" collapsed="false">
      <c r="A41" s="29" t="s">
        <v>926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</row>
    <row r="42" customFormat="false" ht="27.75" hidden="false" customHeight="true" outlineLevel="0" collapsed="false">
      <c r="A42" s="36" t="s">
        <v>927</v>
      </c>
      <c r="B42" s="33" t="s">
        <v>762</v>
      </c>
      <c r="C42" s="33" t="s">
        <v>855</v>
      </c>
      <c r="D42" s="33" t="s">
        <v>928</v>
      </c>
      <c r="E42" s="33" t="s">
        <v>929</v>
      </c>
      <c r="F42" s="9" t="s">
        <v>4</v>
      </c>
      <c r="G42" s="9" t="s">
        <v>223</v>
      </c>
      <c r="H42" s="9" t="s">
        <v>165</v>
      </c>
      <c r="I42" s="9" t="s">
        <v>105</v>
      </c>
      <c r="J42" s="9" t="s">
        <v>65</v>
      </c>
      <c r="K42" s="9" t="s">
        <v>37</v>
      </c>
      <c r="L42" s="9" t="s">
        <v>920</v>
      </c>
      <c r="M42" s="33" t="s">
        <v>930</v>
      </c>
      <c r="N42" s="33" t="s">
        <v>931</v>
      </c>
    </row>
    <row r="43" customFormat="false" ht="27.75" hidden="false" customHeight="true" outlineLevel="0" collapsed="false">
      <c r="A43" s="35" t="s">
        <v>932</v>
      </c>
      <c r="B43" s="31" t="s">
        <v>762</v>
      </c>
      <c r="C43" s="31" t="s">
        <v>855</v>
      </c>
      <c r="D43" s="31" t="s">
        <v>933</v>
      </c>
      <c r="E43" s="31" t="s">
        <v>934</v>
      </c>
      <c r="F43" s="11" t="s">
        <v>4</v>
      </c>
      <c r="G43" s="11" t="s">
        <v>223</v>
      </c>
      <c r="H43" s="11" t="s">
        <v>935</v>
      </c>
      <c r="I43" s="11" t="s">
        <v>936</v>
      </c>
      <c r="J43" s="11" t="s">
        <v>65</v>
      </c>
      <c r="K43" s="11" t="s">
        <v>37</v>
      </c>
      <c r="L43" s="11" t="s">
        <v>920</v>
      </c>
      <c r="M43" s="31" t="s">
        <v>937</v>
      </c>
      <c r="N43" s="31" t="s">
        <v>938</v>
      </c>
    </row>
    <row r="44" customFormat="false" ht="27.75" hidden="false" customHeight="true" outlineLevel="0" collapsed="false">
      <c r="A44" s="36" t="s">
        <v>939</v>
      </c>
      <c r="B44" s="33" t="s">
        <v>762</v>
      </c>
      <c r="C44" s="33" t="s">
        <v>855</v>
      </c>
      <c r="D44" s="33" t="s">
        <v>940</v>
      </c>
      <c r="E44" s="33" t="s">
        <v>941</v>
      </c>
      <c r="F44" s="9" t="s">
        <v>4</v>
      </c>
      <c r="G44" s="9" t="s">
        <v>223</v>
      </c>
      <c r="H44" s="9" t="s">
        <v>942</v>
      </c>
      <c r="I44" s="9" t="s">
        <v>798</v>
      </c>
      <c r="J44" s="9" t="s">
        <v>65</v>
      </c>
      <c r="K44" s="9" t="s">
        <v>37</v>
      </c>
      <c r="L44" s="9" t="s">
        <v>920</v>
      </c>
      <c r="M44" s="33" t="s">
        <v>943</v>
      </c>
      <c r="N44" s="33" t="s">
        <v>944</v>
      </c>
    </row>
    <row r="45" customFormat="false" ht="27.75" hidden="false" customHeight="true" outlineLevel="0" collapsed="false">
      <c r="A45" s="35" t="s">
        <v>945</v>
      </c>
      <c r="B45" s="31" t="s">
        <v>762</v>
      </c>
      <c r="C45" s="31" t="s">
        <v>855</v>
      </c>
      <c r="D45" s="31" t="s">
        <v>946</v>
      </c>
      <c r="E45" s="31" t="s">
        <v>947</v>
      </c>
      <c r="F45" s="11" t="s">
        <v>4</v>
      </c>
      <c r="G45" s="11" t="s">
        <v>223</v>
      </c>
      <c r="H45" s="11" t="s">
        <v>177</v>
      </c>
      <c r="I45" s="11" t="s">
        <v>241</v>
      </c>
      <c r="J45" s="11" t="s">
        <v>65</v>
      </c>
      <c r="K45" s="11" t="s">
        <v>35</v>
      </c>
      <c r="L45" s="11" t="s">
        <v>352</v>
      </c>
      <c r="M45" s="31" t="s">
        <v>948</v>
      </c>
      <c r="N45" s="31" t="s">
        <v>949</v>
      </c>
    </row>
    <row r="46" customFormat="false" ht="27.75" hidden="false" customHeight="true" outlineLevel="0" collapsed="false">
      <c r="A46" s="36" t="s">
        <v>950</v>
      </c>
      <c r="B46" s="33" t="s">
        <v>762</v>
      </c>
      <c r="C46" s="33" t="s">
        <v>855</v>
      </c>
      <c r="D46" s="33" t="s">
        <v>951</v>
      </c>
      <c r="E46" s="33" t="s">
        <v>952</v>
      </c>
      <c r="F46" s="9" t="s">
        <v>6</v>
      </c>
      <c r="G46" s="9" t="s">
        <v>280</v>
      </c>
      <c r="H46" s="9" t="s">
        <v>118</v>
      </c>
      <c r="I46" s="9" t="s">
        <v>99</v>
      </c>
      <c r="J46" s="9" t="s">
        <v>65</v>
      </c>
      <c r="K46" s="9" t="s">
        <v>37</v>
      </c>
      <c r="L46" s="9" t="s">
        <v>106</v>
      </c>
      <c r="M46" s="33" t="s">
        <v>953</v>
      </c>
      <c r="N46" s="33" t="s">
        <v>954</v>
      </c>
    </row>
    <row r="47" customFormat="false" ht="27.75" hidden="false" customHeight="true" outlineLevel="0" collapsed="false">
      <c r="A47" s="35" t="s">
        <v>955</v>
      </c>
      <c r="B47" s="31" t="s">
        <v>762</v>
      </c>
      <c r="C47" s="31" t="s">
        <v>855</v>
      </c>
      <c r="D47" s="31" t="s">
        <v>956</v>
      </c>
      <c r="E47" s="31" t="s">
        <v>957</v>
      </c>
      <c r="F47" s="11" t="s">
        <v>4</v>
      </c>
      <c r="G47" s="11" t="s">
        <v>62</v>
      </c>
      <c r="H47" s="11" t="s">
        <v>958</v>
      </c>
      <c r="I47" s="11" t="s">
        <v>959</v>
      </c>
      <c r="J47" s="11" t="s">
        <v>65</v>
      </c>
      <c r="K47" s="11" t="s">
        <v>37</v>
      </c>
      <c r="L47" s="11" t="s">
        <v>352</v>
      </c>
      <c r="M47" s="31" t="s">
        <v>960</v>
      </c>
      <c r="N47" s="31" t="s">
        <v>961</v>
      </c>
    </row>
    <row r="48" customFormat="false" ht="27.75" hidden="false" customHeight="true" outlineLevel="0" collapsed="false">
      <c r="A48" s="36" t="s">
        <v>962</v>
      </c>
      <c r="B48" s="33" t="s">
        <v>762</v>
      </c>
      <c r="C48" s="33" t="s">
        <v>855</v>
      </c>
      <c r="D48" s="33" t="s">
        <v>963</v>
      </c>
      <c r="E48" s="33" t="s">
        <v>964</v>
      </c>
      <c r="F48" s="9" t="s">
        <v>6</v>
      </c>
      <c r="G48" s="9" t="s">
        <v>280</v>
      </c>
      <c r="H48" s="9" t="s">
        <v>118</v>
      </c>
      <c r="I48" s="9" t="s">
        <v>99</v>
      </c>
      <c r="J48" s="9" t="s">
        <v>65</v>
      </c>
      <c r="K48" s="9" t="s">
        <v>39</v>
      </c>
      <c r="L48" s="9" t="s">
        <v>352</v>
      </c>
      <c r="M48" s="33" t="s">
        <v>965</v>
      </c>
      <c r="N48" s="33" t="s">
        <v>966</v>
      </c>
    </row>
    <row r="49" customFormat="false" ht="18" hidden="false" customHeight="true" outlineLevel="0" collapsed="false">
      <c r="A49" s="29" t="s">
        <v>967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</row>
    <row r="50" customFormat="false" ht="27.75" hidden="false" customHeight="true" outlineLevel="0" collapsed="false">
      <c r="A50" s="36" t="s">
        <v>968</v>
      </c>
      <c r="B50" s="33" t="s">
        <v>762</v>
      </c>
      <c r="C50" s="33" t="s">
        <v>969</v>
      </c>
      <c r="D50" s="33" t="s">
        <v>970</v>
      </c>
      <c r="E50" s="33" t="s">
        <v>971</v>
      </c>
      <c r="F50" s="9" t="s">
        <v>8</v>
      </c>
      <c r="G50" s="9" t="s">
        <v>252</v>
      </c>
      <c r="H50" s="9" t="s">
        <v>104</v>
      </c>
      <c r="I50" s="9" t="s">
        <v>166</v>
      </c>
      <c r="J50" s="9" t="s">
        <v>65</v>
      </c>
      <c r="K50" s="9" t="s">
        <v>37</v>
      </c>
      <c r="L50" s="9" t="s">
        <v>86</v>
      </c>
      <c r="M50" s="33" t="s">
        <v>99</v>
      </c>
      <c r="N50" s="33" t="s">
        <v>972</v>
      </c>
    </row>
    <row r="51" customFormat="false" ht="27.75" hidden="false" customHeight="true" outlineLevel="0" collapsed="false">
      <c r="A51" s="35" t="s">
        <v>973</v>
      </c>
      <c r="B51" s="31" t="s">
        <v>762</v>
      </c>
      <c r="C51" s="31" t="s">
        <v>969</v>
      </c>
      <c r="D51" s="31" t="s">
        <v>974</v>
      </c>
      <c r="E51" s="31" t="s">
        <v>975</v>
      </c>
      <c r="F51" s="11" t="s">
        <v>8</v>
      </c>
      <c r="G51" s="11" t="s">
        <v>252</v>
      </c>
      <c r="H51" s="11" t="s">
        <v>253</v>
      </c>
      <c r="I51" s="11" t="s">
        <v>752</v>
      </c>
      <c r="J51" s="11" t="s">
        <v>65</v>
      </c>
      <c r="K51" s="11" t="s">
        <v>35</v>
      </c>
      <c r="L51" s="11" t="s">
        <v>86</v>
      </c>
      <c r="M51" s="31" t="s">
        <v>99</v>
      </c>
      <c r="N51" s="31" t="s">
        <v>976</v>
      </c>
    </row>
    <row r="52" customFormat="false" ht="27.75" hidden="false" customHeight="true" outlineLevel="0" collapsed="false">
      <c r="A52" s="36" t="s">
        <v>977</v>
      </c>
      <c r="B52" s="33" t="s">
        <v>762</v>
      </c>
      <c r="C52" s="33" t="s">
        <v>969</v>
      </c>
      <c r="D52" s="33" t="s">
        <v>978</v>
      </c>
      <c r="E52" s="33" t="s">
        <v>979</v>
      </c>
      <c r="F52" s="9" t="s">
        <v>8</v>
      </c>
      <c r="G52" s="9" t="s">
        <v>252</v>
      </c>
      <c r="H52" s="9" t="s">
        <v>104</v>
      </c>
      <c r="I52" s="9" t="s">
        <v>92</v>
      </c>
      <c r="J52" s="9" t="s">
        <v>98</v>
      </c>
      <c r="K52" s="9" t="s">
        <v>99</v>
      </c>
      <c r="L52" s="9" t="s">
        <v>113</v>
      </c>
      <c r="M52" s="33" t="s">
        <v>99</v>
      </c>
      <c r="N52" s="33" t="s">
        <v>980</v>
      </c>
    </row>
    <row r="53" customFormat="false" ht="27.75" hidden="false" customHeight="true" outlineLevel="0" collapsed="false">
      <c r="A53" s="35" t="s">
        <v>981</v>
      </c>
      <c r="B53" s="31" t="s">
        <v>762</v>
      </c>
      <c r="C53" s="31" t="s">
        <v>969</v>
      </c>
      <c r="D53" s="31" t="s">
        <v>982</v>
      </c>
      <c r="E53" s="31" t="s">
        <v>983</v>
      </c>
      <c r="F53" s="11" t="s">
        <v>8</v>
      </c>
      <c r="G53" s="11" t="s">
        <v>252</v>
      </c>
      <c r="H53" s="11" t="s">
        <v>142</v>
      </c>
      <c r="I53" s="11" t="s">
        <v>263</v>
      </c>
      <c r="J53" s="11" t="s">
        <v>98</v>
      </c>
      <c r="K53" s="11" t="s">
        <v>99</v>
      </c>
      <c r="L53" s="11" t="s">
        <v>352</v>
      </c>
      <c r="M53" s="31" t="s">
        <v>99</v>
      </c>
      <c r="N53" s="31" t="s">
        <v>984</v>
      </c>
    </row>
    <row r="54" customFormat="false" ht="27.75" hidden="false" customHeight="true" outlineLevel="0" collapsed="false">
      <c r="A54" s="36" t="s">
        <v>985</v>
      </c>
      <c r="B54" s="33" t="s">
        <v>762</v>
      </c>
      <c r="C54" s="33" t="s">
        <v>969</v>
      </c>
      <c r="D54" s="33" t="s">
        <v>986</v>
      </c>
      <c r="E54" s="33" t="s">
        <v>987</v>
      </c>
      <c r="F54" s="9" t="s">
        <v>8</v>
      </c>
      <c r="G54" s="9" t="s">
        <v>252</v>
      </c>
      <c r="H54" s="9" t="s">
        <v>142</v>
      </c>
      <c r="I54" s="9" t="s">
        <v>988</v>
      </c>
      <c r="J54" s="9" t="s">
        <v>65</v>
      </c>
      <c r="K54" s="9" t="s">
        <v>35</v>
      </c>
      <c r="L54" s="9" t="s">
        <v>920</v>
      </c>
      <c r="M54" s="33" t="s">
        <v>99</v>
      </c>
      <c r="N54" s="33" t="s">
        <v>989</v>
      </c>
    </row>
    <row r="55" customFormat="false" ht="27.75" hidden="false" customHeight="true" outlineLevel="0" collapsed="false">
      <c r="A55" s="35" t="s">
        <v>990</v>
      </c>
      <c r="B55" s="31" t="s">
        <v>762</v>
      </c>
      <c r="C55" s="31" t="s">
        <v>969</v>
      </c>
      <c r="D55" s="31" t="s">
        <v>991</v>
      </c>
      <c r="E55" s="31" t="s">
        <v>992</v>
      </c>
      <c r="F55" s="11" t="s">
        <v>8</v>
      </c>
      <c r="G55" s="11" t="s">
        <v>252</v>
      </c>
      <c r="H55" s="11" t="s">
        <v>993</v>
      </c>
      <c r="I55" s="11" t="s">
        <v>994</v>
      </c>
      <c r="J55" s="11" t="s">
        <v>65</v>
      </c>
      <c r="K55" s="11" t="s">
        <v>35</v>
      </c>
      <c r="L55" s="11" t="s">
        <v>352</v>
      </c>
      <c r="M55" s="31" t="s">
        <v>99</v>
      </c>
      <c r="N55" s="31" t="s">
        <v>995</v>
      </c>
    </row>
    <row r="56" customFormat="false" ht="21.75" hidden="false" customHeight="true" outlineLevel="0" collapsed="false">
      <c r="A56" s="34" t="s">
        <v>996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</row>
    <row r="57" customFormat="false" ht="18" hidden="false" customHeight="true" outlineLevel="0" collapsed="false">
      <c r="A57" s="29" t="s">
        <v>997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</row>
    <row r="58" customFormat="false" ht="27.75" hidden="false" customHeight="true" outlineLevel="0" collapsed="false">
      <c r="A58" s="36" t="s">
        <v>998</v>
      </c>
      <c r="B58" s="33" t="s">
        <v>762</v>
      </c>
      <c r="C58" s="33" t="s">
        <v>999</v>
      </c>
      <c r="D58" s="33" t="s">
        <v>1000</v>
      </c>
      <c r="E58" s="33" t="s">
        <v>1001</v>
      </c>
      <c r="F58" s="9" t="s">
        <v>4</v>
      </c>
      <c r="G58" s="9" t="s">
        <v>62</v>
      </c>
      <c r="H58" s="9" t="s">
        <v>1002</v>
      </c>
      <c r="I58" s="9" t="s">
        <v>166</v>
      </c>
      <c r="J58" s="9" t="s">
        <v>65</v>
      </c>
      <c r="K58" s="9" t="s">
        <v>37</v>
      </c>
      <c r="L58" s="9" t="s">
        <v>86</v>
      </c>
      <c r="M58" s="33" t="s">
        <v>1003</v>
      </c>
      <c r="N58" s="33" t="s">
        <v>1004</v>
      </c>
    </row>
    <row r="59" customFormat="false" ht="27.75" hidden="false" customHeight="true" outlineLevel="0" collapsed="false">
      <c r="A59" s="35" t="s">
        <v>1005</v>
      </c>
      <c r="B59" s="31" t="s">
        <v>762</v>
      </c>
      <c r="C59" s="31" t="s">
        <v>999</v>
      </c>
      <c r="D59" s="31" t="s">
        <v>1006</v>
      </c>
      <c r="E59" s="31" t="s">
        <v>1007</v>
      </c>
      <c r="F59" s="11" t="s">
        <v>4</v>
      </c>
      <c r="G59" s="11" t="s">
        <v>62</v>
      </c>
      <c r="H59" s="11" t="s">
        <v>863</v>
      </c>
      <c r="I59" s="11" t="s">
        <v>166</v>
      </c>
      <c r="J59" s="11" t="s">
        <v>65</v>
      </c>
      <c r="K59" s="11" t="s">
        <v>37</v>
      </c>
      <c r="L59" s="11" t="s">
        <v>86</v>
      </c>
      <c r="M59" s="31" t="s">
        <v>1008</v>
      </c>
      <c r="N59" s="31" t="s">
        <v>1009</v>
      </c>
    </row>
    <row r="60" customFormat="false" ht="27.75" hidden="false" customHeight="true" outlineLevel="0" collapsed="false">
      <c r="A60" s="36" t="s">
        <v>1010</v>
      </c>
      <c r="B60" s="33" t="s">
        <v>762</v>
      </c>
      <c r="C60" s="33" t="s">
        <v>999</v>
      </c>
      <c r="D60" s="33" t="s">
        <v>1011</v>
      </c>
      <c r="E60" s="33" t="s">
        <v>1012</v>
      </c>
      <c r="F60" s="9" t="s">
        <v>4</v>
      </c>
      <c r="G60" s="9" t="s">
        <v>62</v>
      </c>
      <c r="H60" s="9" t="s">
        <v>1013</v>
      </c>
      <c r="I60" s="9" t="s">
        <v>166</v>
      </c>
      <c r="J60" s="9" t="s">
        <v>65</v>
      </c>
      <c r="K60" s="9" t="s">
        <v>35</v>
      </c>
      <c r="L60" s="9" t="s">
        <v>86</v>
      </c>
      <c r="M60" s="33" t="s">
        <v>1014</v>
      </c>
      <c r="N60" s="33" t="s">
        <v>1015</v>
      </c>
    </row>
    <row r="61" customFormat="false" ht="27.75" hidden="false" customHeight="true" outlineLevel="0" collapsed="false">
      <c r="A61" s="35" t="s">
        <v>1016</v>
      </c>
      <c r="B61" s="31" t="s">
        <v>762</v>
      </c>
      <c r="C61" s="31" t="s">
        <v>999</v>
      </c>
      <c r="D61" s="31" t="s">
        <v>1017</v>
      </c>
      <c r="E61" s="31" t="s">
        <v>1018</v>
      </c>
      <c r="F61" s="11" t="s">
        <v>4</v>
      </c>
      <c r="G61" s="11" t="s">
        <v>62</v>
      </c>
      <c r="H61" s="11" t="s">
        <v>1019</v>
      </c>
      <c r="I61" s="11" t="s">
        <v>166</v>
      </c>
      <c r="J61" s="11" t="s">
        <v>65</v>
      </c>
      <c r="K61" s="11" t="s">
        <v>35</v>
      </c>
      <c r="L61" s="11" t="s">
        <v>86</v>
      </c>
      <c r="M61" s="31" t="s">
        <v>1020</v>
      </c>
      <c r="N61" s="31" t="s">
        <v>1021</v>
      </c>
    </row>
    <row r="62" customFormat="false" ht="27.75" hidden="false" customHeight="true" outlineLevel="0" collapsed="false">
      <c r="A62" s="36" t="s">
        <v>1022</v>
      </c>
      <c r="B62" s="33" t="s">
        <v>762</v>
      </c>
      <c r="C62" s="33" t="s">
        <v>999</v>
      </c>
      <c r="D62" s="33" t="s">
        <v>1023</v>
      </c>
      <c r="E62" s="33" t="s">
        <v>1024</v>
      </c>
      <c r="F62" s="9" t="s">
        <v>4</v>
      </c>
      <c r="G62" s="9" t="s">
        <v>62</v>
      </c>
      <c r="H62" s="9" t="s">
        <v>63</v>
      </c>
      <c r="I62" s="9" t="s">
        <v>684</v>
      </c>
      <c r="J62" s="9" t="s">
        <v>65</v>
      </c>
      <c r="K62" s="9" t="s">
        <v>35</v>
      </c>
      <c r="L62" s="9" t="s">
        <v>86</v>
      </c>
      <c r="M62" s="33" t="s">
        <v>1025</v>
      </c>
      <c r="N62" s="33" t="s">
        <v>1026</v>
      </c>
    </row>
    <row r="63" customFormat="false" ht="27.75" hidden="false" customHeight="true" outlineLevel="0" collapsed="false">
      <c r="A63" s="35" t="s">
        <v>1027</v>
      </c>
      <c r="B63" s="31" t="s">
        <v>762</v>
      </c>
      <c r="C63" s="31" t="s">
        <v>999</v>
      </c>
      <c r="D63" s="31" t="s">
        <v>1028</v>
      </c>
      <c r="E63" s="31" t="s">
        <v>1029</v>
      </c>
      <c r="F63" s="11" t="s">
        <v>4</v>
      </c>
      <c r="G63" s="11" t="s">
        <v>62</v>
      </c>
      <c r="H63" s="11" t="s">
        <v>63</v>
      </c>
      <c r="I63" s="11" t="s">
        <v>684</v>
      </c>
      <c r="J63" s="11" t="s">
        <v>65</v>
      </c>
      <c r="K63" s="11" t="s">
        <v>37</v>
      </c>
      <c r="L63" s="11" t="s">
        <v>86</v>
      </c>
      <c r="M63" s="31" t="s">
        <v>1030</v>
      </c>
      <c r="N63" s="31" t="s">
        <v>1031</v>
      </c>
    </row>
    <row r="64" customFormat="false" ht="27.75" hidden="false" customHeight="true" outlineLevel="0" collapsed="false">
      <c r="A64" s="36" t="s">
        <v>1032</v>
      </c>
      <c r="B64" s="33" t="s">
        <v>762</v>
      </c>
      <c r="C64" s="33" t="s">
        <v>999</v>
      </c>
      <c r="D64" s="33" t="s">
        <v>1033</v>
      </c>
      <c r="E64" s="33" t="s">
        <v>1034</v>
      </c>
      <c r="F64" s="9" t="s">
        <v>4</v>
      </c>
      <c r="G64" s="9" t="s">
        <v>223</v>
      </c>
      <c r="H64" s="9" t="s">
        <v>667</v>
      </c>
      <c r="I64" s="9" t="s">
        <v>241</v>
      </c>
      <c r="J64" s="9" t="s">
        <v>65</v>
      </c>
      <c r="K64" s="9" t="s">
        <v>37</v>
      </c>
      <c r="L64" s="9" t="s">
        <v>113</v>
      </c>
      <c r="M64" s="33" t="s">
        <v>1035</v>
      </c>
      <c r="N64" s="33" t="s">
        <v>1036</v>
      </c>
    </row>
    <row r="65" customFormat="false" ht="27.75" hidden="false" customHeight="true" outlineLevel="0" collapsed="false">
      <c r="A65" s="35" t="s">
        <v>1037</v>
      </c>
      <c r="B65" s="31" t="s">
        <v>762</v>
      </c>
      <c r="C65" s="31" t="s">
        <v>999</v>
      </c>
      <c r="D65" s="31" t="s">
        <v>1038</v>
      </c>
      <c r="E65" s="31" t="s">
        <v>1039</v>
      </c>
      <c r="F65" s="11" t="s">
        <v>4</v>
      </c>
      <c r="G65" s="11" t="s">
        <v>223</v>
      </c>
      <c r="H65" s="11" t="s">
        <v>667</v>
      </c>
      <c r="I65" s="11" t="s">
        <v>241</v>
      </c>
      <c r="J65" s="11" t="s">
        <v>65</v>
      </c>
      <c r="K65" s="11" t="s">
        <v>37</v>
      </c>
      <c r="L65" s="11" t="s">
        <v>113</v>
      </c>
      <c r="M65" s="31" t="s">
        <v>1040</v>
      </c>
      <c r="N65" s="31" t="s">
        <v>1041</v>
      </c>
    </row>
    <row r="66" customFormat="false" ht="18" hidden="false" customHeight="true" outlineLevel="0" collapsed="false">
      <c r="A66" s="29" t="s">
        <v>1042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</row>
    <row r="67" customFormat="false" ht="27.75" hidden="false" customHeight="true" outlineLevel="0" collapsed="false">
      <c r="A67" s="35" t="s">
        <v>1043</v>
      </c>
      <c r="B67" s="31" t="s">
        <v>762</v>
      </c>
      <c r="C67" s="31" t="s">
        <v>999</v>
      </c>
      <c r="D67" s="31" t="s">
        <v>1044</v>
      </c>
      <c r="E67" s="31" t="s">
        <v>1045</v>
      </c>
      <c r="F67" s="11" t="s">
        <v>6</v>
      </c>
      <c r="G67" s="11" t="s">
        <v>280</v>
      </c>
      <c r="H67" s="11" t="s">
        <v>118</v>
      </c>
      <c r="I67" s="11" t="s">
        <v>99</v>
      </c>
      <c r="J67" s="11" t="s">
        <v>65</v>
      </c>
      <c r="K67" s="11" t="s">
        <v>33</v>
      </c>
      <c r="L67" s="11" t="s">
        <v>66</v>
      </c>
      <c r="M67" s="31" t="s">
        <v>1046</v>
      </c>
      <c r="N67" s="31" t="s">
        <v>1047</v>
      </c>
    </row>
    <row r="68" customFormat="false" ht="27.75" hidden="false" customHeight="true" outlineLevel="0" collapsed="false">
      <c r="A68" s="36" t="s">
        <v>1048</v>
      </c>
      <c r="B68" s="33" t="s">
        <v>762</v>
      </c>
      <c r="C68" s="33" t="s">
        <v>999</v>
      </c>
      <c r="D68" s="33" t="s">
        <v>1049</v>
      </c>
      <c r="E68" s="33" t="s">
        <v>1050</v>
      </c>
      <c r="F68" s="9" t="s">
        <v>7</v>
      </c>
      <c r="G68" s="9" t="s">
        <v>280</v>
      </c>
      <c r="H68" s="9" t="s">
        <v>118</v>
      </c>
      <c r="I68" s="9" t="s">
        <v>99</v>
      </c>
      <c r="J68" s="9" t="s">
        <v>98</v>
      </c>
      <c r="K68" s="9" t="s">
        <v>99</v>
      </c>
      <c r="L68" s="9" t="s">
        <v>287</v>
      </c>
      <c r="M68" s="33" t="s">
        <v>1046</v>
      </c>
      <c r="N68" s="33" t="s">
        <v>1051</v>
      </c>
    </row>
    <row r="69" customFormat="false" ht="27.75" hidden="false" customHeight="true" outlineLevel="0" collapsed="false">
      <c r="A69" s="35" t="s">
        <v>1052</v>
      </c>
      <c r="B69" s="31" t="s">
        <v>762</v>
      </c>
      <c r="C69" s="31" t="s">
        <v>999</v>
      </c>
      <c r="D69" s="31" t="s">
        <v>1053</v>
      </c>
      <c r="E69" s="31" t="s">
        <v>1054</v>
      </c>
      <c r="F69" s="11" t="s">
        <v>6</v>
      </c>
      <c r="G69" s="11" t="s">
        <v>280</v>
      </c>
      <c r="H69" s="11" t="s">
        <v>118</v>
      </c>
      <c r="I69" s="11" t="s">
        <v>99</v>
      </c>
      <c r="J69" s="11" t="s">
        <v>65</v>
      </c>
      <c r="K69" s="11" t="s">
        <v>35</v>
      </c>
      <c r="L69" s="11" t="s">
        <v>66</v>
      </c>
      <c r="M69" s="31" t="s">
        <v>1055</v>
      </c>
      <c r="N69" s="31" t="s">
        <v>1056</v>
      </c>
    </row>
    <row r="70" customFormat="false" ht="27.75" hidden="false" customHeight="true" outlineLevel="0" collapsed="false">
      <c r="A70" s="36" t="s">
        <v>1057</v>
      </c>
      <c r="B70" s="33" t="s">
        <v>762</v>
      </c>
      <c r="C70" s="33" t="s">
        <v>999</v>
      </c>
      <c r="D70" s="33" t="s">
        <v>1058</v>
      </c>
      <c r="E70" s="33" t="s">
        <v>1059</v>
      </c>
      <c r="F70" s="9" t="s">
        <v>7</v>
      </c>
      <c r="G70" s="9" t="s">
        <v>280</v>
      </c>
      <c r="H70" s="9" t="s">
        <v>118</v>
      </c>
      <c r="I70" s="9" t="s">
        <v>99</v>
      </c>
      <c r="J70" s="9" t="s">
        <v>98</v>
      </c>
      <c r="K70" s="9" t="s">
        <v>99</v>
      </c>
      <c r="L70" s="9" t="s">
        <v>287</v>
      </c>
      <c r="M70" s="33" t="s">
        <v>1055</v>
      </c>
      <c r="N70" s="33" t="s">
        <v>1060</v>
      </c>
    </row>
    <row r="71" customFormat="false" ht="27.75" hidden="false" customHeight="true" outlineLevel="0" collapsed="false">
      <c r="A71" s="35" t="s">
        <v>1061</v>
      </c>
      <c r="B71" s="31" t="s">
        <v>762</v>
      </c>
      <c r="C71" s="31" t="s">
        <v>999</v>
      </c>
      <c r="D71" s="31" t="s">
        <v>1062</v>
      </c>
      <c r="E71" s="31" t="s">
        <v>1063</v>
      </c>
      <c r="F71" s="11" t="s">
        <v>4</v>
      </c>
      <c r="G71" s="11" t="s">
        <v>223</v>
      </c>
      <c r="H71" s="11" t="s">
        <v>142</v>
      </c>
      <c r="I71" s="11" t="s">
        <v>105</v>
      </c>
      <c r="J71" s="11" t="s">
        <v>65</v>
      </c>
      <c r="K71" s="11" t="s">
        <v>35</v>
      </c>
      <c r="L71" s="11" t="s">
        <v>86</v>
      </c>
      <c r="M71" s="31" t="s">
        <v>1064</v>
      </c>
      <c r="N71" s="31" t="s">
        <v>1065</v>
      </c>
    </row>
    <row r="72" customFormat="false" ht="27.75" hidden="false" customHeight="true" outlineLevel="0" collapsed="false">
      <c r="A72" s="36" t="s">
        <v>1066</v>
      </c>
      <c r="B72" s="33" t="s">
        <v>762</v>
      </c>
      <c r="C72" s="33" t="s">
        <v>999</v>
      </c>
      <c r="D72" s="33" t="s">
        <v>1067</v>
      </c>
      <c r="E72" s="33" t="s">
        <v>1068</v>
      </c>
      <c r="F72" s="9" t="s">
        <v>5</v>
      </c>
      <c r="G72" s="9" t="s">
        <v>223</v>
      </c>
      <c r="H72" s="9" t="s">
        <v>142</v>
      </c>
      <c r="I72" s="9" t="s">
        <v>105</v>
      </c>
      <c r="J72" s="9" t="s">
        <v>98</v>
      </c>
      <c r="K72" s="9" t="s">
        <v>99</v>
      </c>
      <c r="L72" s="9" t="s">
        <v>287</v>
      </c>
      <c r="M72" s="33" t="s">
        <v>1064</v>
      </c>
      <c r="N72" s="33" t="s">
        <v>1069</v>
      </c>
    </row>
    <row r="73" customFormat="false" ht="27.75" hidden="false" customHeight="true" outlineLevel="0" collapsed="false">
      <c r="A73" s="35" t="s">
        <v>1070</v>
      </c>
      <c r="B73" s="31" t="s">
        <v>762</v>
      </c>
      <c r="C73" s="31" t="s">
        <v>999</v>
      </c>
      <c r="D73" s="31" t="s">
        <v>1071</v>
      </c>
      <c r="E73" s="31" t="s">
        <v>1072</v>
      </c>
      <c r="F73" s="11" t="s">
        <v>6</v>
      </c>
      <c r="G73" s="11" t="s">
        <v>280</v>
      </c>
      <c r="H73" s="11" t="s">
        <v>118</v>
      </c>
      <c r="I73" s="11" t="s">
        <v>99</v>
      </c>
      <c r="J73" s="11" t="s">
        <v>65</v>
      </c>
      <c r="K73" s="11" t="s">
        <v>35</v>
      </c>
      <c r="L73" s="11" t="s">
        <v>352</v>
      </c>
      <c r="M73" s="31" t="s">
        <v>1073</v>
      </c>
      <c r="N73" s="31" t="s">
        <v>1074</v>
      </c>
    </row>
    <row r="74" customFormat="false" ht="18" hidden="false" customHeight="true" outlineLevel="0" collapsed="false">
      <c r="A74" s="29" t="s">
        <v>1075</v>
      </c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</row>
    <row r="75" customFormat="false" ht="27.75" hidden="false" customHeight="true" outlineLevel="0" collapsed="false">
      <c r="A75" s="35" t="s">
        <v>1076</v>
      </c>
      <c r="B75" s="31" t="s">
        <v>762</v>
      </c>
      <c r="C75" s="31" t="s">
        <v>1077</v>
      </c>
      <c r="D75" s="31" t="s">
        <v>1078</v>
      </c>
      <c r="E75" s="31" t="s">
        <v>1079</v>
      </c>
      <c r="F75" s="11" t="s">
        <v>8</v>
      </c>
      <c r="G75" s="11" t="s">
        <v>252</v>
      </c>
      <c r="H75" s="11" t="s">
        <v>253</v>
      </c>
      <c r="I75" s="11" t="s">
        <v>752</v>
      </c>
      <c r="J75" s="11" t="s">
        <v>65</v>
      </c>
      <c r="K75" s="11" t="s">
        <v>35</v>
      </c>
      <c r="L75" s="11" t="s">
        <v>86</v>
      </c>
      <c r="M75" s="31" t="s">
        <v>99</v>
      </c>
      <c r="N75" s="31" t="s">
        <v>1080</v>
      </c>
    </row>
    <row r="76" customFormat="false" ht="27.75" hidden="false" customHeight="true" outlineLevel="0" collapsed="false">
      <c r="A76" s="36" t="s">
        <v>1081</v>
      </c>
      <c r="B76" s="33" t="s">
        <v>762</v>
      </c>
      <c r="C76" s="33" t="s">
        <v>1077</v>
      </c>
      <c r="D76" s="33" t="s">
        <v>1082</v>
      </c>
      <c r="E76" s="33" t="s">
        <v>1083</v>
      </c>
      <c r="F76" s="9" t="s">
        <v>8</v>
      </c>
      <c r="G76" s="9" t="s">
        <v>252</v>
      </c>
      <c r="H76" s="9" t="s">
        <v>111</v>
      </c>
      <c r="I76" s="9" t="s">
        <v>1084</v>
      </c>
      <c r="J76" s="9" t="s">
        <v>98</v>
      </c>
      <c r="K76" s="9" t="s">
        <v>99</v>
      </c>
      <c r="L76" s="9" t="s">
        <v>86</v>
      </c>
      <c r="M76" s="33" t="s">
        <v>99</v>
      </c>
      <c r="N76" s="33" t="s">
        <v>1085</v>
      </c>
    </row>
    <row r="77" customFormat="false" ht="27.75" hidden="false" customHeight="true" outlineLevel="0" collapsed="false">
      <c r="A77" s="35" t="s">
        <v>1086</v>
      </c>
      <c r="B77" s="31" t="s">
        <v>762</v>
      </c>
      <c r="C77" s="31" t="s">
        <v>1077</v>
      </c>
      <c r="D77" s="31" t="s">
        <v>1087</v>
      </c>
      <c r="E77" s="31" t="s">
        <v>1088</v>
      </c>
      <c r="F77" s="11" t="s">
        <v>8</v>
      </c>
      <c r="G77" s="11" t="s">
        <v>252</v>
      </c>
      <c r="H77" s="11" t="s">
        <v>1089</v>
      </c>
      <c r="I77" s="11" t="s">
        <v>166</v>
      </c>
      <c r="J77" s="11" t="s">
        <v>65</v>
      </c>
      <c r="K77" s="11" t="s">
        <v>37</v>
      </c>
      <c r="L77" s="11" t="s">
        <v>113</v>
      </c>
      <c r="M77" s="31" t="s">
        <v>99</v>
      </c>
      <c r="N77" s="31" t="s">
        <v>1090</v>
      </c>
    </row>
    <row r="78" customFormat="false" ht="27.75" hidden="false" customHeight="true" outlineLevel="0" collapsed="false">
      <c r="A78" s="36" t="s">
        <v>1091</v>
      </c>
      <c r="B78" s="33" t="s">
        <v>762</v>
      </c>
      <c r="C78" s="33" t="s">
        <v>1077</v>
      </c>
      <c r="D78" s="33" t="s">
        <v>1092</v>
      </c>
      <c r="E78" s="33" t="s">
        <v>1093</v>
      </c>
      <c r="F78" s="9" t="s">
        <v>8</v>
      </c>
      <c r="G78" s="9" t="s">
        <v>252</v>
      </c>
      <c r="H78" s="9" t="s">
        <v>84</v>
      </c>
      <c r="I78" s="9" t="s">
        <v>99</v>
      </c>
      <c r="J78" s="9" t="s">
        <v>65</v>
      </c>
      <c r="K78" s="9" t="s">
        <v>37</v>
      </c>
      <c r="L78" s="9" t="s">
        <v>920</v>
      </c>
      <c r="M78" s="33" t="s">
        <v>99</v>
      </c>
      <c r="N78" s="33" t="s">
        <v>1094</v>
      </c>
    </row>
    <row r="79" customFormat="false" ht="27.75" hidden="false" customHeight="true" outlineLevel="0" collapsed="false">
      <c r="A79" s="35" t="s">
        <v>1095</v>
      </c>
      <c r="B79" s="31" t="s">
        <v>762</v>
      </c>
      <c r="C79" s="31" t="s">
        <v>1077</v>
      </c>
      <c r="D79" s="31" t="s">
        <v>1096</v>
      </c>
      <c r="E79" s="31" t="s">
        <v>1097</v>
      </c>
      <c r="F79" s="11" t="s">
        <v>8</v>
      </c>
      <c r="G79" s="11" t="s">
        <v>252</v>
      </c>
      <c r="H79" s="11" t="s">
        <v>958</v>
      </c>
      <c r="I79" s="11" t="s">
        <v>1098</v>
      </c>
      <c r="J79" s="11" t="s">
        <v>98</v>
      </c>
      <c r="K79" s="11" t="s">
        <v>99</v>
      </c>
      <c r="L79" s="11" t="s">
        <v>920</v>
      </c>
      <c r="M79" s="31" t="s">
        <v>99</v>
      </c>
      <c r="N79" s="31" t="s">
        <v>1099</v>
      </c>
    </row>
    <row r="80" customFormat="false" ht="27.75" hidden="false" customHeight="true" outlineLevel="0" collapsed="false">
      <c r="A80" s="36" t="s">
        <v>1100</v>
      </c>
      <c r="B80" s="33" t="s">
        <v>762</v>
      </c>
      <c r="C80" s="33" t="s">
        <v>1077</v>
      </c>
      <c r="D80" s="33" t="s">
        <v>1101</v>
      </c>
      <c r="E80" s="33" t="s">
        <v>1102</v>
      </c>
      <c r="F80" s="9" t="s">
        <v>8</v>
      </c>
      <c r="G80" s="9" t="s">
        <v>252</v>
      </c>
      <c r="H80" s="9" t="s">
        <v>142</v>
      </c>
      <c r="I80" s="9" t="s">
        <v>105</v>
      </c>
      <c r="J80" s="9" t="s">
        <v>65</v>
      </c>
      <c r="K80" s="9" t="s">
        <v>37</v>
      </c>
      <c r="L80" s="9" t="s">
        <v>352</v>
      </c>
      <c r="M80" s="33" t="s">
        <v>99</v>
      </c>
      <c r="N80" s="33" t="s">
        <v>1103</v>
      </c>
    </row>
    <row r="81" customFormat="false" ht="21.75" hidden="false" customHeight="true" outlineLevel="0" collapsed="false">
      <c r="A81" s="34" t="s">
        <v>1104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</row>
    <row r="82" customFormat="false" ht="27.75" hidden="false" customHeight="true" outlineLevel="0" collapsed="false">
      <c r="A82" s="36" t="s">
        <v>1105</v>
      </c>
      <c r="B82" s="33" t="s">
        <v>762</v>
      </c>
      <c r="C82" s="33" t="s">
        <v>1106</v>
      </c>
      <c r="D82" s="33" t="s">
        <v>1107</v>
      </c>
      <c r="E82" s="33" t="s">
        <v>1108</v>
      </c>
      <c r="F82" s="9" t="s">
        <v>6</v>
      </c>
      <c r="G82" s="9" t="s">
        <v>418</v>
      </c>
      <c r="H82" s="9" t="s">
        <v>118</v>
      </c>
      <c r="I82" s="9" t="s">
        <v>99</v>
      </c>
      <c r="J82" s="9" t="s">
        <v>65</v>
      </c>
      <c r="K82" s="9" t="s">
        <v>37</v>
      </c>
      <c r="L82" s="9" t="s">
        <v>187</v>
      </c>
      <c r="M82" s="33" t="s">
        <v>1109</v>
      </c>
      <c r="N82" s="33" t="s">
        <v>1110</v>
      </c>
    </row>
    <row r="83" customFormat="false" ht="27.75" hidden="false" customHeight="true" outlineLevel="0" collapsed="false">
      <c r="A83" s="35" t="s">
        <v>1111</v>
      </c>
      <c r="B83" s="31" t="s">
        <v>762</v>
      </c>
      <c r="C83" s="31" t="s">
        <v>1106</v>
      </c>
      <c r="D83" s="31" t="s">
        <v>1112</v>
      </c>
      <c r="E83" s="31" t="s">
        <v>1113</v>
      </c>
      <c r="F83" s="11" t="s">
        <v>4</v>
      </c>
      <c r="G83" s="11" t="s">
        <v>418</v>
      </c>
      <c r="H83" s="11" t="s">
        <v>1114</v>
      </c>
      <c r="I83" s="11" t="s">
        <v>166</v>
      </c>
      <c r="J83" s="11" t="s">
        <v>65</v>
      </c>
      <c r="K83" s="11" t="s">
        <v>37</v>
      </c>
      <c r="L83" s="11" t="s">
        <v>106</v>
      </c>
      <c r="M83" s="31" t="s">
        <v>1109</v>
      </c>
      <c r="N83" s="31" t="s">
        <v>1115</v>
      </c>
    </row>
    <row r="84" customFormat="false" ht="27.75" hidden="false" customHeight="true" outlineLevel="0" collapsed="false">
      <c r="A84" s="36" t="s">
        <v>1116</v>
      </c>
      <c r="B84" s="33" t="s">
        <v>762</v>
      </c>
      <c r="C84" s="33" t="s">
        <v>1106</v>
      </c>
      <c r="D84" s="33" t="s">
        <v>1117</v>
      </c>
      <c r="E84" s="33" t="s">
        <v>1118</v>
      </c>
      <c r="F84" s="9" t="s">
        <v>6</v>
      </c>
      <c r="G84" s="9" t="s">
        <v>418</v>
      </c>
      <c r="H84" s="9" t="s">
        <v>118</v>
      </c>
      <c r="I84" s="9" t="s">
        <v>99</v>
      </c>
      <c r="J84" s="9" t="s">
        <v>65</v>
      </c>
      <c r="K84" s="9" t="s">
        <v>37</v>
      </c>
      <c r="L84" s="9" t="s">
        <v>187</v>
      </c>
      <c r="M84" s="33" t="s">
        <v>1109</v>
      </c>
      <c r="N84" s="33" t="s">
        <v>1119</v>
      </c>
    </row>
    <row r="85" customFormat="false" ht="27.75" hidden="false" customHeight="true" outlineLevel="0" collapsed="false">
      <c r="A85" s="35" t="s">
        <v>1120</v>
      </c>
      <c r="B85" s="31" t="s">
        <v>762</v>
      </c>
      <c r="C85" s="31" t="s">
        <v>1106</v>
      </c>
      <c r="D85" s="31" t="s">
        <v>1121</v>
      </c>
      <c r="E85" s="31" t="s">
        <v>1122</v>
      </c>
      <c r="F85" s="11" t="s">
        <v>4</v>
      </c>
      <c r="G85" s="11" t="s">
        <v>62</v>
      </c>
      <c r="H85" s="11" t="s">
        <v>436</v>
      </c>
      <c r="I85" s="11" t="s">
        <v>166</v>
      </c>
      <c r="J85" s="11" t="s">
        <v>65</v>
      </c>
      <c r="K85" s="11" t="s">
        <v>35</v>
      </c>
      <c r="L85" s="11" t="s">
        <v>86</v>
      </c>
      <c r="M85" s="31" t="s">
        <v>1123</v>
      </c>
      <c r="N85" s="31" t="s">
        <v>1124</v>
      </c>
    </row>
    <row r="86" customFormat="false" ht="27.75" hidden="false" customHeight="true" outlineLevel="0" collapsed="false">
      <c r="A86" s="36" t="s">
        <v>1125</v>
      </c>
      <c r="B86" s="33" t="s">
        <v>762</v>
      </c>
      <c r="C86" s="33" t="s">
        <v>1106</v>
      </c>
      <c r="D86" s="33" t="s">
        <v>1126</v>
      </c>
      <c r="E86" s="33" t="s">
        <v>1127</v>
      </c>
      <c r="F86" s="9" t="s">
        <v>4</v>
      </c>
      <c r="G86" s="9" t="s">
        <v>223</v>
      </c>
      <c r="H86" s="9" t="s">
        <v>123</v>
      </c>
      <c r="I86" s="9" t="s">
        <v>241</v>
      </c>
      <c r="J86" s="9" t="s">
        <v>65</v>
      </c>
      <c r="K86" s="9" t="s">
        <v>35</v>
      </c>
      <c r="L86" s="9" t="s">
        <v>187</v>
      </c>
      <c r="M86" s="33" t="s">
        <v>1128</v>
      </c>
      <c r="N86" s="33" t="s">
        <v>1129</v>
      </c>
    </row>
    <row r="87" customFormat="false" ht="27.75" hidden="false" customHeight="true" outlineLevel="0" collapsed="false">
      <c r="A87" s="35" t="s">
        <v>1130</v>
      </c>
      <c r="B87" s="31" t="s">
        <v>762</v>
      </c>
      <c r="C87" s="31" t="s">
        <v>1106</v>
      </c>
      <c r="D87" s="31" t="s">
        <v>1131</v>
      </c>
      <c r="E87" s="31" t="s">
        <v>1132</v>
      </c>
      <c r="F87" s="11" t="s">
        <v>4</v>
      </c>
      <c r="G87" s="11" t="s">
        <v>223</v>
      </c>
      <c r="H87" s="11" t="s">
        <v>942</v>
      </c>
      <c r="I87" s="11" t="s">
        <v>798</v>
      </c>
      <c r="J87" s="11" t="s">
        <v>65</v>
      </c>
      <c r="K87" s="11" t="s">
        <v>33</v>
      </c>
      <c r="L87" s="11" t="s">
        <v>113</v>
      </c>
      <c r="M87" s="31" t="s">
        <v>1133</v>
      </c>
      <c r="N87" s="31" t="s">
        <v>1134</v>
      </c>
    </row>
    <row r="88" customFormat="false" ht="27.75" hidden="false" customHeight="true" outlineLevel="0" collapsed="false">
      <c r="A88" s="36" t="s">
        <v>1135</v>
      </c>
      <c r="B88" s="33" t="s">
        <v>762</v>
      </c>
      <c r="C88" s="33" t="s">
        <v>1106</v>
      </c>
      <c r="D88" s="33" t="s">
        <v>1136</v>
      </c>
      <c r="E88" s="33" t="s">
        <v>1137</v>
      </c>
      <c r="F88" s="9" t="s">
        <v>6</v>
      </c>
      <c r="G88" s="9" t="s">
        <v>385</v>
      </c>
      <c r="H88" s="9" t="s">
        <v>118</v>
      </c>
      <c r="I88" s="9" t="s">
        <v>99</v>
      </c>
      <c r="J88" s="9" t="s">
        <v>98</v>
      </c>
      <c r="K88" s="9" t="s">
        <v>99</v>
      </c>
      <c r="L88" s="9" t="s">
        <v>920</v>
      </c>
      <c r="M88" s="33" t="s">
        <v>1138</v>
      </c>
      <c r="N88" s="33" t="s">
        <v>1139</v>
      </c>
    </row>
    <row r="89" customFormat="false" ht="27.75" hidden="false" customHeight="true" outlineLevel="0" collapsed="false">
      <c r="A89" s="35" t="s">
        <v>1140</v>
      </c>
      <c r="B89" s="31" t="s">
        <v>762</v>
      </c>
      <c r="C89" s="31" t="s">
        <v>1106</v>
      </c>
      <c r="D89" s="31" t="s">
        <v>1141</v>
      </c>
      <c r="E89" s="31" t="s">
        <v>1142</v>
      </c>
      <c r="F89" s="11" t="s">
        <v>6</v>
      </c>
      <c r="G89" s="11" t="s">
        <v>385</v>
      </c>
      <c r="H89" s="11" t="s">
        <v>118</v>
      </c>
      <c r="I89" s="11" t="s">
        <v>99</v>
      </c>
      <c r="J89" s="11" t="s">
        <v>65</v>
      </c>
      <c r="K89" s="11" t="s">
        <v>39</v>
      </c>
      <c r="L89" s="11" t="s">
        <v>920</v>
      </c>
      <c r="M89" s="31" t="s">
        <v>1138</v>
      </c>
      <c r="N89" s="31" t="s">
        <v>1143</v>
      </c>
    </row>
    <row r="90" customFormat="false" ht="27.75" hidden="false" customHeight="true" outlineLevel="0" collapsed="false">
      <c r="A90" s="36" t="s">
        <v>1144</v>
      </c>
      <c r="B90" s="33" t="s">
        <v>762</v>
      </c>
      <c r="C90" s="33" t="s">
        <v>1106</v>
      </c>
      <c r="D90" s="33" t="s">
        <v>1145</v>
      </c>
      <c r="E90" s="33" t="s">
        <v>1146</v>
      </c>
      <c r="F90" s="9" t="s">
        <v>6</v>
      </c>
      <c r="G90" s="9" t="s">
        <v>62</v>
      </c>
      <c r="H90" s="9" t="s">
        <v>118</v>
      </c>
      <c r="I90" s="9" t="s">
        <v>99</v>
      </c>
      <c r="J90" s="9" t="s">
        <v>65</v>
      </c>
      <c r="K90" s="9" t="s">
        <v>35</v>
      </c>
      <c r="L90" s="9" t="s">
        <v>106</v>
      </c>
      <c r="M90" s="33" t="s">
        <v>1147</v>
      </c>
      <c r="N90" s="33" t="s">
        <v>1148</v>
      </c>
    </row>
    <row r="91" customFormat="false" ht="27.75" hidden="false" customHeight="true" outlineLevel="0" collapsed="false">
      <c r="A91" s="35" t="s">
        <v>1149</v>
      </c>
      <c r="B91" s="31" t="s">
        <v>762</v>
      </c>
      <c r="C91" s="31" t="s">
        <v>1150</v>
      </c>
      <c r="D91" s="31" t="s">
        <v>1151</v>
      </c>
      <c r="E91" s="31" t="s">
        <v>1152</v>
      </c>
      <c r="F91" s="11" t="s">
        <v>8</v>
      </c>
      <c r="G91" s="11" t="s">
        <v>252</v>
      </c>
      <c r="H91" s="11" t="s">
        <v>142</v>
      </c>
      <c r="I91" s="11" t="s">
        <v>105</v>
      </c>
      <c r="J91" s="11" t="s">
        <v>98</v>
      </c>
      <c r="K91" s="11" t="s">
        <v>99</v>
      </c>
      <c r="L91" s="11" t="s">
        <v>352</v>
      </c>
      <c r="M91" s="31" t="s">
        <v>99</v>
      </c>
      <c r="N91" s="31" t="s">
        <v>1153</v>
      </c>
    </row>
    <row r="92" customFormat="false" ht="27.75" hidden="false" customHeight="true" outlineLevel="0" collapsed="false">
      <c r="A92" s="36" t="s">
        <v>1154</v>
      </c>
      <c r="B92" s="33" t="s">
        <v>762</v>
      </c>
      <c r="C92" s="33" t="s">
        <v>1150</v>
      </c>
      <c r="D92" s="33" t="s">
        <v>1155</v>
      </c>
      <c r="E92" s="33" t="s">
        <v>1156</v>
      </c>
      <c r="F92" s="9" t="s">
        <v>8</v>
      </c>
      <c r="G92" s="9" t="s">
        <v>252</v>
      </c>
      <c r="H92" s="9" t="s">
        <v>958</v>
      </c>
      <c r="I92" s="9" t="s">
        <v>1098</v>
      </c>
      <c r="J92" s="9" t="s">
        <v>98</v>
      </c>
      <c r="K92" s="9" t="s">
        <v>99</v>
      </c>
      <c r="L92" s="9" t="s">
        <v>920</v>
      </c>
      <c r="M92" s="33" t="s">
        <v>99</v>
      </c>
      <c r="N92" s="33" t="s">
        <v>1157</v>
      </c>
    </row>
    <row r="93" customFormat="false" ht="27.75" hidden="false" customHeight="true" outlineLevel="0" collapsed="false">
      <c r="A93" s="35" t="s">
        <v>1158</v>
      </c>
      <c r="B93" s="31" t="s">
        <v>762</v>
      </c>
      <c r="C93" s="31" t="s">
        <v>1150</v>
      </c>
      <c r="D93" s="31" t="s">
        <v>1159</v>
      </c>
      <c r="E93" s="31" t="s">
        <v>1160</v>
      </c>
      <c r="F93" s="11" t="s">
        <v>8</v>
      </c>
      <c r="G93" s="11" t="s">
        <v>252</v>
      </c>
      <c r="H93" s="11" t="s">
        <v>142</v>
      </c>
      <c r="I93" s="11" t="s">
        <v>105</v>
      </c>
      <c r="J93" s="11" t="s">
        <v>98</v>
      </c>
      <c r="K93" s="11" t="s">
        <v>99</v>
      </c>
      <c r="L93" s="11" t="s">
        <v>920</v>
      </c>
      <c r="M93" s="31" t="s">
        <v>99</v>
      </c>
      <c r="N93" s="31" t="s">
        <v>1161</v>
      </c>
    </row>
    <row r="94" customFormat="false" ht="21.75" hidden="false" customHeight="true" outlineLevel="0" collapsed="false">
      <c r="A94" s="34" t="s">
        <v>1162</v>
      </c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</row>
    <row r="95" customFormat="false" ht="18" hidden="false" customHeight="true" outlineLevel="0" collapsed="false">
      <c r="A95" s="29" t="s">
        <v>1163</v>
      </c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</row>
    <row r="96" customFormat="false" ht="27.75" hidden="false" customHeight="true" outlineLevel="0" collapsed="false">
      <c r="A96" s="36" t="s">
        <v>1164</v>
      </c>
      <c r="B96" s="33" t="s">
        <v>762</v>
      </c>
      <c r="C96" s="33" t="s">
        <v>1165</v>
      </c>
      <c r="D96" s="33" t="s">
        <v>1166</v>
      </c>
      <c r="E96" s="33" t="s">
        <v>1167</v>
      </c>
      <c r="F96" s="9" t="s">
        <v>6</v>
      </c>
      <c r="G96" s="9" t="s">
        <v>62</v>
      </c>
      <c r="H96" s="9" t="s">
        <v>229</v>
      </c>
      <c r="I96" s="9" t="s">
        <v>99</v>
      </c>
      <c r="J96" s="9" t="s">
        <v>65</v>
      </c>
      <c r="K96" s="9" t="s">
        <v>35</v>
      </c>
      <c r="L96" s="9" t="s">
        <v>86</v>
      </c>
      <c r="M96" s="33" t="s">
        <v>1168</v>
      </c>
      <c r="N96" s="33" t="s">
        <v>1169</v>
      </c>
    </row>
    <row r="97" customFormat="false" ht="27.75" hidden="false" customHeight="true" outlineLevel="0" collapsed="false">
      <c r="A97" s="35" t="s">
        <v>1170</v>
      </c>
      <c r="B97" s="31" t="s">
        <v>762</v>
      </c>
      <c r="C97" s="31" t="s">
        <v>1165</v>
      </c>
      <c r="D97" s="31" t="s">
        <v>1171</v>
      </c>
      <c r="E97" s="31" t="s">
        <v>1172</v>
      </c>
      <c r="F97" s="11" t="s">
        <v>4</v>
      </c>
      <c r="G97" s="11" t="s">
        <v>62</v>
      </c>
      <c r="H97" s="11" t="s">
        <v>165</v>
      </c>
      <c r="I97" s="11" t="s">
        <v>79</v>
      </c>
      <c r="J97" s="11" t="s">
        <v>98</v>
      </c>
      <c r="K97" s="11" t="s">
        <v>99</v>
      </c>
      <c r="L97" s="11" t="s">
        <v>187</v>
      </c>
      <c r="M97" s="31" t="s">
        <v>1173</v>
      </c>
      <c r="N97" s="31" t="s">
        <v>1174</v>
      </c>
    </row>
    <row r="98" customFormat="false" ht="27.75" hidden="false" customHeight="true" outlineLevel="0" collapsed="false">
      <c r="A98" s="36" t="s">
        <v>1175</v>
      </c>
      <c r="B98" s="33" t="s">
        <v>762</v>
      </c>
      <c r="C98" s="33" t="s">
        <v>1165</v>
      </c>
      <c r="D98" s="33" t="s">
        <v>1176</v>
      </c>
      <c r="E98" s="33" t="s">
        <v>1177</v>
      </c>
      <c r="F98" s="9" t="s">
        <v>4</v>
      </c>
      <c r="G98" s="9" t="s">
        <v>62</v>
      </c>
      <c r="H98" s="9" t="s">
        <v>710</v>
      </c>
      <c r="I98" s="9" t="s">
        <v>166</v>
      </c>
      <c r="J98" s="9" t="s">
        <v>65</v>
      </c>
      <c r="K98" s="9" t="s">
        <v>37</v>
      </c>
      <c r="L98" s="9" t="s">
        <v>86</v>
      </c>
      <c r="M98" s="33" t="s">
        <v>1178</v>
      </c>
      <c r="N98" s="33" t="s">
        <v>1179</v>
      </c>
    </row>
    <row r="99" customFormat="false" ht="27.75" hidden="false" customHeight="true" outlineLevel="0" collapsed="false">
      <c r="A99" s="35" t="s">
        <v>1180</v>
      </c>
      <c r="B99" s="31" t="s">
        <v>762</v>
      </c>
      <c r="C99" s="31" t="s">
        <v>1165</v>
      </c>
      <c r="D99" s="31" t="s">
        <v>1181</v>
      </c>
      <c r="E99" s="31" t="s">
        <v>1182</v>
      </c>
      <c r="F99" s="11" t="s">
        <v>4</v>
      </c>
      <c r="G99" s="11" t="s">
        <v>62</v>
      </c>
      <c r="H99" s="11" t="s">
        <v>406</v>
      </c>
      <c r="I99" s="11" t="s">
        <v>166</v>
      </c>
      <c r="J99" s="11" t="s">
        <v>65</v>
      </c>
      <c r="K99" s="11" t="s">
        <v>35</v>
      </c>
      <c r="L99" s="11" t="s">
        <v>86</v>
      </c>
      <c r="M99" s="31" t="s">
        <v>1183</v>
      </c>
      <c r="N99" s="31" t="s">
        <v>1184</v>
      </c>
    </row>
    <row r="100" customFormat="false" ht="27.75" hidden="false" customHeight="true" outlineLevel="0" collapsed="false">
      <c r="A100" s="36" t="s">
        <v>1185</v>
      </c>
      <c r="B100" s="33" t="s">
        <v>762</v>
      </c>
      <c r="C100" s="33" t="s">
        <v>1165</v>
      </c>
      <c r="D100" s="33" t="s">
        <v>1186</v>
      </c>
      <c r="E100" s="33" t="s">
        <v>1187</v>
      </c>
      <c r="F100" s="9" t="s">
        <v>4</v>
      </c>
      <c r="G100" s="9" t="s">
        <v>223</v>
      </c>
      <c r="H100" s="9" t="s">
        <v>1188</v>
      </c>
      <c r="I100" s="9" t="s">
        <v>166</v>
      </c>
      <c r="J100" s="9" t="s">
        <v>98</v>
      </c>
      <c r="K100" s="9" t="s">
        <v>99</v>
      </c>
      <c r="L100" s="9" t="s">
        <v>113</v>
      </c>
      <c r="M100" s="33" t="s">
        <v>1189</v>
      </c>
      <c r="N100" s="33" t="s">
        <v>1190</v>
      </c>
    </row>
    <row r="101" customFormat="false" ht="27.75" hidden="false" customHeight="true" outlineLevel="0" collapsed="false">
      <c r="A101" s="35" t="s">
        <v>1191</v>
      </c>
      <c r="B101" s="31" t="s">
        <v>762</v>
      </c>
      <c r="C101" s="31" t="s">
        <v>1165</v>
      </c>
      <c r="D101" s="31" t="s">
        <v>1192</v>
      </c>
      <c r="E101" s="31" t="s">
        <v>1193</v>
      </c>
      <c r="F101" s="11" t="s">
        <v>4</v>
      </c>
      <c r="G101" s="11" t="s">
        <v>223</v>
      </c>
      <c r="H101" s="11" t="s">
        <v>142</v>
      </c>
      <c r="I101" s="11" t="s">
        <v>424</v>
      </c>
      <c r="J101" s="11" t="s">
        <v>98</v>
      </c>
      <c r="K101" s="11" t="s">
        <v>99</v>
      </c>
      <c r="L101" s="11" t="s">
        <v>442</v>
      </c>
      <c r="M101" s="31" t="s">
        <v>1194</v>
      </c>
      <c r="N101" s="31" t="s">
        <v>1195</v>
      </c>
    </row>
    <row r="102" customFormat="false" ht="27.75" hidden="false" customHeight="true" outlineLevel="0" collapsed="false">
      <c r="A102" s="36" t="s">
        <v>1196</v>
      </c>
      <c r="B102" s="33" t="s">
        <v>762</v>
      </c>
      <c r="C102" s="33" t="s">
        <v>1165</v>
      </c>
      <c r="D102" s="33" t="s">
        <v>1197</v>
      </c>
      <c r="E102" s="33" t="s">
        <v>1198</v>
      </c>
      <c r="F102" s="9" t="s">
        <v>4</v>
      </c>
      <c r="G102" s="9" t="s">
        <v>62</v>
      </c>
      <c r="H102" s="9" t="s">
        <v>63</v>
      </c>
      <c r="I102" s="9" t="s">
        <v>684</v>
      </c>
      <c r="J102" s="9" t="s">
        <v>65</v>
      </c>
      <c r="K102" s="9" t="s">
        <v>35</v>
      </c>
      <c r="L102" s="9" t="s">
        <v>187</v>
      </c>
      <c r="M102" s="33" t="s">
        <v>1199</v>
      </c>
      <c r="N102" s="33" t="s">
        <v>1200</v>
      </c>
    </row>
    <row r="103" customFormat="false" ht="18" hidden="false" customHeight="true" outlineLevel="0" collapsed="false">
      <c r="A103" s="29" t="s">
        <v>1201</v>
      </c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</row>
    <row r="104" customFormat="false" ht="27.75" hidden="false" customHeight="true" outlineLevel="0" collapsed="false">
      <c r="A104" s="36" t="s">
        <v>1202</v>
      </c>
      <c r="B104" s="33" t="s">
        <v>762</v>
      </c>
      <c r="C104" s="33" t="s">
        <v>1165</v>
      </c>
      <c r="D104" s="33" t="s">
        <v>1203</v>
      </c>
      <c r="E104" s="33" t="s">
        <v>1204</v>
      </c>
      <c r="F104" s="9" t="s">
        <v>6</v>
      </c>
      <c r="G104" s="9" t="s">
        <v>280</v>
      </c>
      <c r="H104" s="9" t="s">
        <v>118</v>
      </c>
      <c r="I104" s="9" t="s">
        <v>99</v>
      </c>
      <c r="J104" s="9" t="s">
        <v>98</v>
      </c>
      <c r="K104" s="9" t="s">
        <v>99</v>
      </c>
      <c r="L104" s="9" t="s">
        <v>187</v>
      </c>
      <c r="M104" s="33" t="s">
        <v>1205</v>
      </c>
      <c r="N104" s="33" t="s">
        <v>1206</v>
      </c>
    </row>
    <row r="105" customFormat="false" ht="27.75" hidden="false" customHeight="true" outlineLevel="0" collapsed="false">
      <c r="A105" s="35" t="s">
        <v>1207</v>
      </c>
      <c r="B105" s="31" t="s">
        <v>762</v>
      </c>
      <c r="C105" s="31" t="s">
        <v>1165</v>
      </c>
      <c r="D105" s="31" t="s">
        <v>1208</v>
      </c>
      <c r="E105" s="31" t="s">
        <v>1209</v>
      </c>
      <c r="F105" s="11" t="s">
        <v>4</v>
      </c>
      <c r="G105" s="11" t="s">
        <v>62</v>
      </c>
      <c r="H105" s="11" t="s">
        <v>142</v>
      </c>
      <c r="I105" s="11" t="s">
        <v>1210</v>
      </c>
      <c r="J105" s="11" t="s">
        <v>65</v>
      </c>
      <c r="K105" s="11" t="s">
        <v>39</v>
      </c>
      <c r="L105" s="11" t="s">
        <v>442</v>
      </c>
      <c r="M105" s="31" t="s">
        <v>1211</v>
      </c>
      <c r="N105" s="31" t="s">
        <v>1212</v>
      </c>
    </row>
    <row r="106" customFormat="false" ht="27.75" hidden="false" customHeight="true" outlineLevel="0" collapsed="false">
      <c r="A106" s="36" t="s">
        <v>1213</v>
      </c>
      <c r="B106" s="33" t="s">
        <v>762</v>
      </c>
      <c r="C106" s="33" t="s">
        <v>1165</v>
      </c>
      <c r="D106" s="33" t="s">
        <v>1214</v>
      </c>
      <c r="E106" s="33" t="s">
        <v>1215</v>
      </c>
      <c r="F106" s="9" t="s">
        <v>7</v>
      </c>
      <c r="G106" s="9" t="s">
        <v>280</v>
      </c>
      <c r="H106" s="9" t="s">
        <v>118</v>
      </c>
      <c r="I106" s="9" t="s">
        <v>99</v>
      </c>
      <c r="J106" s="9" t="s">
        <v>98</v>
      </c>
      <c r="K106" s="9" t="s">
        <v>99</v>
      </c>
      <c r="L106" s="9" t="s">
        <v>287</v>
      </c>
      <c r="M106" s="33" t="s">
        <v>1205</v>
      </c>
      <c r="N106" s="33" t="s">
        <v>1216</v>
      </c>
    </row>
    <row r="107" customFormat="false" ht="27.75" hidden="false" customHeight="true" outlineLevel="0" collapsed="false">
      <c r="A107" s="35" t="s">
        <v>1217</v>
      </c>
      <c r="B107" s="31" t="s">
        <v>762</v>
      </c>
      <c r="C107" s="31" t="s">
        <v>1165</v>
      </c>
      <c r="D107" s="31" t="s">
        <v>1218</v>
      </c>
      <c r="E107" s="31" t="s">
        <v>1219</v>
      </c>
      <c r="F107" s="11" t="s">
        <v>6</v>
      </c>
      <c r="G107" s="11" t="s">
        <v>280</v>
      </c>
      <c r="H107" s="11" t="s">
        <v>118</v>
      </c>
      <c r="I107" s="11" t="s">
        <v>99</v>
      </c>
      <c r="J107" s="11" t="s">
        <v>65</v>
      </c>
      <c r="K107" s="11" t="s">
        <v>39</v>
      </c>
      <c r="L107" s="11" t="s">
        <v>352</v>
      </c>
      <c r="M107" s="31" t="s">
        <v>1205</v>
      </c>
      <c r="N107" s="31" t="s">
        <v>1220</v>
      </c>
    </row>
    <row r="108" customFormat="false" ht="18" hidden="false" customHeight="true" outlineLevel="0" collapsed="false">
      <c r="A108" s="29" t="s">
        <v>1221</v>
      </c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</row>
    <row r="109" customFormat="false" ht="27.75" hidden="false" customHeight="true" outlineLevel="0" collapsed="false">
      <c r="A109" s="35" t="s">
        <v>1222</v>
      </c>
      <c r="B109" s="31" t="s">
        <v>762</v>
      </c>
      <c r="C109" s="31" t="s">
        <v>1165</v>
      </c>
      <c r="D109" s="31" t="s">
        <v>1223</v>
      </c>
      <c r="E109" s="31" t="s">
        <v>1224</v>
      </c>
      <c r="F109" s="11" t="s">
        <v>5</v>
      </c>
      <c r="G109" s="11" t="s">
        <v>62</v>
      </c>
      <c r="H109" s="11" t="s">
        <v>165</v>
      </c>
      <c r="I109" s="11" t="s">
        <v>79</v>
      </c>
      <c r="J109" s="11" t="s">
        <v>98</v>
      </c>
      <c r="K109" s="11" t="s">
        <v>99</v>
      </c>
      <c r="L109" s="11" t="s">
        <v>287</v>
      </c>
      <c r="M109" s="31" t="s">
        <v>1173</v>
      </c>
      <c r="N109" s="31" t="s">
        <v>1225</v>
      </c>
    </row>
    <row r="110" customFormat="false" ht="27.75" hidden="false" customHeight="true" outlineLevel="0" collapsed="false">
      <c r="A110" s="36" t="s">
        <v>1226</v>
      </c>
      <c r="B110" s="33" t="s">
        <v>762</v>
      </c>
      <c r="C110" s="33" t="s">
        <v>1165</v>
      </c>
      <c r="D110" s="33" t="s">
        <v>1227</v>
      </c>
      <c r="E110" s="33" t="s">
        <v>1228</v>
      </c>
      <c r="F110" s="9" t="s">
        <v>7</v>
      </c>
      <c r="G110" s="9" t="s">
        <v>62</v>
      </c>
      <c r="H110" s="9" t="s">
        <v>118</v>
      </c>
      <c r="I110" s="9" t="s">
        <v>99</v>
      </c>
      <c r="J110" s="9" t="s">
        <v>98</v>
      </c>
      <c r="K110" s="9" t="s">
        <v>99</v>
      </c>
      <c r="L110" s="9" t="s">
        <v>287</v>
      </c>
      <c r="M110" s="33" t="s">
        <v>1173</v>
      </c>
      <c r="N110" s="33" t="s">
        <v>1229</v>
      </c>
    </row>
    <row r="111" customFormat="false" ht="18" hidden="false" customHeight="true" outlineLevel="0" collapsed="false">
      <c r="A111" s="29" t="s">
        <v>1230</v>
      </c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</row>
    <row r="112" customFormat="false" ht="27.75" hidden="false" customHeight="true" outlineLevel="0" collapsed="false">
      <c r="A112" s="36" t="s">
        <v>1231</v>
      </c>
      <c r="B112" s="33" t="s">
        <v>762</v>
      </c>
      <c r="C112" s="33" t="s">
        <v>1232</v>
      </c>
      <c r="D112" s="33" t="s">
        <v>1233</v>
      </c>
      <c r="E112" s="33" t="s">
        <v>1234</v>
      </c>
      <c r="F112" s="9" t="s">
        <v>8</v>
      </c>
      <c r="G112" s="9" t="s">
        <v>252</v>
      </c>
      <c r="H112" s="9" t="s">
        <v>253</v>
      </c>
      <c r="I112" s="9" t="s">
        <v>752</v>
      </c>
      <c r="J112" s="9" t="s">
        <v>65</v>
      </c>
      <c r="K112" s="9" t="s">
        <v>35</v>
      </c>
      <c r="L112" s="9" t="s">
        <v>86</v>
      </c>
      <c r="M112" s="33" t="s">
        <v>99</v>
      </c>
      <c r="N112" s="33" t="s">
        <v>1235</v>
      </c>
    </row>
    <row r="113" customFormat="false" ht="27.75" hidden="false" customHeight="true" outlineLevel="0" collapsed="false">
      <c r="A113" s="35" t="s">
        <v>1236</v>
      </c>
      <c r="B113" s="31" t="s">
        <v>762</v>
      </c>
      <c r="C113" s="31" t="s">
        <v>1232</v>
      </c>
      <c r="D113" s="31" t="s">
        <v>1237</v>
      </c>
      <c r="E113" s="31" t="s">
        <v>1238</v>
      </c>
      <c r="F113" s="11" t="s">
        <v>8</v>
      </c>
      <c r="G113" s="11" t="s">
        <v>252</v>
      </c>
      <c r="H113" s="11" t="s">
        <v>142</v>
      </c>
      <c r="I113" s="11" t="s">
        <v>105</v>
      </c>
      <c r="J113" s="11" t="s">
        <v>65</v>
      </c>
      <c r="K113" s="11" t="s">
        <v>33</v>
      </c>
      <c r="L113" s="11" t="s">
        <v>113</v>
      </c>
      <c r="M113" s="31" t="s">
        <v>99</v>
      </c>
      <c r="N113" s="31" t="s">
        <v>1239</v>
      </c>
    </row>
    <row r="114" customFormat="false" ht="27.75" hidden="false" customHeight="true" outlineLevel="0" collapsed="false">
      <c r="A114" s="36" t="s">
        <v>1240</v>
      </c>
      <c r="B114" s="33" t="s">
        <v>762</v>
      </c>
      <c r="C114" s="33" t="s">
        <v>1232</v>
      </c>
      <c r="D114" s="33" t="s">
        <v>1241</v>
      </c>
      <c r="E114" s="33" t="s">
        <v>1242</v>
      </c>
      <c r="F114" s="9" t="s">
        <v>8</v>
      </c>
      <c r="G114" s="9" t="s">
        <v>252</v>
      </c>
      <c r="H114" s="9" t="s">
        <v>613</v>
      </c>
      <c r="I114" s="9" t="s">
        <v>92</v>
      </c>
      <c r="J114" s="9" t="s">
        <v>98</v>
      </c>
      <c r="K114" s="9" t="s">
        <v>99</v>
      </c>
      <c r="L114" s="9" t="s">
        <v>113</v>
      </c>
      <c r="M114" s="33" t="s">
        <v>99</v>
      </c>
      <c r="N114" s="33" t="s">
        <v>1243</v>
      </c>
    </row>
    <row r="115" customFormat="false" ht="21.75" hidden="false" customHeight="true" outlineLevel="0" collapsed="false">
      <c r="A115" s="34" t="s">
        <v>1244</v>
      </c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</row>
    <row r="116" customFormat="false" ht="27.75" hidden="false" customHeight="true" outlineLevel="0" collapsed="false">
      <c r="A116" s="36" t="s">
        <v>1245</v>
      </c>
      <c r="B116" s="33" t="s">
        <v>762</v>
      </c>
      <c r="C116" s="33" t="s">
        <v>1246</v>
      </c>
      <c r="D116" s="33" t="s">
        <v>1247</v>
      </c>
      <c r="E116" s="33" t="s">
        <v>1248</v>
      </c>
      <c r="F116" s="9" t="s">
        <v>6</v>
      </c>
      <c r="G116" s="9" t="s">
        <v>1249</v>
      </c>
      <c r="H116" s="9" t="s">
        <v>1250</v>
      </c>
      <c r="I116" s="9" t="s">
        <v>1251</v>
      </c>
      <c r="J116" s="9" t="s">
        <v>65</v>
      </c>
      <c r="K116" s="9" t="s">
        <v>35</v>
      </c>
      <c r="L116" s="9" t="s">
        <v>66</v>
      </c>
      <c r="M116" s="33" t="s">
        <v>1252</v>
      </c>
      <c r="N116" s="33" t="s">
        <v>1253</v>
      </c>
    </row>
    <row r="117" customFormat="false" ht="27.75" hidden="false" customHeight="true" outlineLevel="0" collapsed="false">
      <c r="A117" s="35" t="s">
        <v>1254</v>
      </c>
      <c r="B117" s="31" t="s">
        <v>762</v>
      </c>
      <c r="C117" s="31" t="s">
        <v>1246</v>
      </c>
      <c r="D117" s="31" t="s">
        <v>1255</v>
      </c>
      <c r="E117" s="31" t="s">
        <v>1256</v>
      </c>
      <c r="F117" s="11" t="s">
        <v>6</v>
      </c>
      <c r="G117" s="11" t="s">
        <v>1249</v>
      </c>
      <c r="H117" s="11" t="s">
        <v>118</v>
      </c>
      <c r="I117" s="11" t="s">
        <v>99</v>
      </c>
      <c r="J117" s="11" t="s">
        <v>65</v>
      </c>
      <c r="K117" s="11" t="s">
        <v>37</v>
      </c>
      <c r="L117" s="11" t="s">
        <v>66</v>
      </c>
      <c r="M117" s="31" t="s">
        <v>1252</v>
      </c>
      <c r="N117" s="31" t="s">
        <v>1257</v>
      </c>
    </row>
    <row r="118" customFormat="false" ht="27.75" hidden="false" customHeight="true" outlineLevel="0" collapsed="false">
      <c r="A118" s="36" t="s">
        <v>1258</v>
      </c>
      <c r="B118" s="33" t="s">
        <v>762</v>
      </c>
      <c r="C118" s="33" t="s">
        <v>1246</v>
      </c>
      <c r="D118" s="33" t="s">
        <v>1259</v>
      </c>
      <c r="E118" s="33" t="s">
        <v>1260</v>
      </c>
      <c r="F118" s="9" t="s">
        <v>4</v>
      </c>
      <c r="G118" s="9" t="s">
        <v>1249</v>
      </c>
      <c r="H118" s="9" t="s">
        <v>778</v>
      </c>
      <c r="I118" s="9" t="s">
        <v>1261</v>
      </c>
      <c r="J118" s="9" t="s">
        <v>65</v>
      </c>
      <c r="K118" s="9" t="s">
        <v>35</v>
      </c>
      <c r="L118" s="9" t="s">
        <v>66</v>
      </c>
      <c r="M118" s="33" t="s">
        <v>1252</v>
      </c>
      <c r="N118" s="33" t="s">
        <v>1262</v>
      </c>
    </row>
    <row r="119" customFormat="false" ht="27.75" hidden="false" customHeight="true" outlineLevel="0" collapsed="false">
      <c r="A119" s="35" t="s">
        <v>1263</v>
      </c>
      <c r="B119" s="31" t="s">
        <v>762</v>
      </c>
      <c r="C119" s="31" t="s">
        <v>1246</v>
      </c>
      <c r="D119" s="31" t="s">
        <v>1264</v>
      </c>
      <c r="E119" s="31" t="s">
        <v>1265</v>
      </c>
      <c r="F119" s="11" t="s">
        <v>6</v>
      </c>
      <c r="G119" s="11" t="s">
        <v>1249</v>
      </c>
      <c r="H119" s="11" t="s">
        <v>118</v>
      </c>
      <c r="I119" s="11" t="s">
        <v>99</v>
      </c>
      <c r="J119" s="11" t="s">
        <v>65</v>
      </c>
      <c r="K119" s="11" t="s">
        <v>37</v>
      </c>
      <c r="L119" s="11" t="s">
        <v>66</v>
      </c>
      <c r="M119" s="31" t="s">
        <v>1252</v>
      </c>
      <c r="N119" s="31" t="s">
        <v>1266</v>
      </c>
    </row>
    <row r="120" customFormat="false" ht="27.75" hidden="false" customHeight="true" outlineLevel="0" collapsed="false">
      <c r="A120" s="36" t="s">
        <v>1267</v>
      </c>
      <c r="B120" s="33" t="s">
        <v>762</v>
      </c>
      <c r="C120" s="33" t="s">
        <v>1246</v>
      </c>
      <c r="D120" s="33" t="s">
        <v>1268</v>
      </c>
      <c r="E120" s="33" t="s">
        <v>1269</v>
      </c>
      <c r="F120" s="9" t="s">
        <v>5</v>
      </c>
      <c r="G120" s="9" t="s">
        <v>1249</v>
      </c>
      <c r="H120" s="9" t="s">
        <v>1250</v>
      </c>
      <c r="I120" s="9" t="s">
        <v>1251</v>
      </c>
      <c r="J120" s="9" t="s">
        <v>98</v>
      </c>
      <c r="K120" s="9" t="s">
        <v>99</v>
      </c>
      <c r="L120" s="9" t="s">
        <v>287</v>
      </c>
      <c r="M120" s="33" t="s">
        <v>1252</v>
      </c>
      <c r="N120" s="33" t="s">
        <v>1270</v>
      </c>
    </row>
    <row r="121" customFormat="false" ht="27.75" hidden="false" customHeight="true" outlineLevel="0" collapsed="false">
      <c r="A121" s="35" t="s">
        <v>1271</v>
      </c>
      <c r="B121" s="31" t="s">
        <v>762</v>
      </c>
      <c r="C121" s="31" t="s">
        <v>1246</v>
      </c>
      <c r="D121" s="31" t="s">
        <v>1272</v>
      </c>
      <c r="E121" s="31" t="s">
        <v>1273</v>
      </c>
      <c r="F121" s="11" t="s">
        <v>6</v>
      </c>
      <c r="G121" s="11" t="s">
        <v>1249</v>
      </c>
      <c r="H121" s="11" t="s">
        <v>1250</v>
      </c>
      <c r="I121" s="11" t="s">
        <v>1251</v>
      </c>
      <c r="J121" s="11" t="s">
        <v>65</v>
      </c>
      <c r="K121" s="11" t="s">
        <v>35</v>
      </c>
      <c r="L121" s="11" t="s">
        <v>66</v>
      </c>
      <c r="M121" s="31" t="s">
        <v>1252</v>
      </c>
      <c r="N121" s="31" t="s">
        <v>1274</v>
      </c>
    </row>
    <row r="122" customFormat="false" ht="27.75" hidden="false" customHeight="true" outlineLevel="0" collapsed="false">
      <c r="A122" s="36" t="s">
        <v>1275</v>
      </c>
      <c r="B122" s="33" t="s">
        <v>762</v>
      </c>
      <c r="C122" s="33" t="s">
        <v>1246</v>
      </c>
      <c r="D122" s="33" t="s">
        <v>1276</v>
      </c>
      <c r="E122" s="33" t="s">
        <v>1277</v>
      </c>
      <c r="F122" s="9" t="s">
        <v>6</v>
      </c>
      <c r="G122" s="9" t="s">
        <v>1249</v>
      </c>
      <c r="H122" s="9" t="s">
        <v>118</v>
      </c>
      <c r="I122" s="9" t="s">
        <v>99</v>
      </c>
      <c r="J122" s="9" t="s">
        <v>65</v>
      </c>
      <c r="K122" s="9" t="s">
        <v>33</v>
      </c>
      <c r="L122" s="9" t="s">
        <v>66</v>
      </c>
      <c r="M122" s="33" t="s">
        <v>1252</v>
      </c>
      <c r="N122" s="33" t="s">
        <v>1278</v>
      </c>
    </row>
    <row r="123" customFormat="false" ht="27.75" hidden="false" customHeight="true" outlineLevel="0" collapsed="false">
      <c r="A123" s="35" t="s">
        <v>1279</v>
      </c>
      <c r="B123" s="31" t="s">
        <v>762</v>
      </c>
      <c r="C123" s="31" t="s">
        <v>1246</v>
      </c>
      <c r="D123" s="31" t="s">
        <v>1280</v>
      </c>
      <c r="E123" s="31" t="s">
        <v>1281</v>
      </c>
      <c r="F123" s="11" t="s">
        <v>6</v>
      </c>
      <c r="G123" s="11" t="s">
        <v>1249</v>
      </c>
      <c r="H123" s="11" t="s">
        <v>118</v>
      </c>
      <c r="I123" s="11" t="s">
        <v>99</v>
      </c>
      <c r="J123" s="11" t="s">
        <v>65</v>
      </c>
      <c r="K123" s="11" t="s">
        <v>33</v>
      </c>
      <c r="L123" s="11" t="s">
        <v>86</v>
      </c>
      <c r="M123" s="31" t="s">
        <v>1252</v>
      </c>
      <c r="N123" s="31" t="s">
        <v>1282</v>
      </c>
    </row>
    <row r="124" customFormat="false" ht="27.75" hidden="false" customHeight="true" outlineLevel="0" collapsed="false">
      <c r="A124" s="36" t="s">
        <v>1283</v>
      </c>
      <c r="B124" s="33" t="s">
        <v>762</v>
      </c>
      <c r="C124" s="33" t="s">
        <v>1246</v>
      </c>
      <c r="D124" s="33" t="s">
        <v>1284</v>
      </c>
      <c r="E124" s="33" t="s">
        <v>1285</v>
      </c>
      <c r="F124" s="9" t="s">
        <v>4</v>
      </c>
      <c r="G124" s="9" t="s">
        <v>1249</v>
      </c>
      <c r="H124" s="9" t="s">
        <v>151</v>
      </c>
      <c r="I124" s="9" t="s">
        <v>1286</v>
      </c>
      <c r="J124" s="9" t="s">
        <v>65</v>
      </c>
      <c r="K124" s="9" t="s">
        <v>33</v>
      </c>
      <c r="L124" s="9" t="s">
        <v>66</v>
      </c>
      <c r="M124" s="33" t="s">
        <v>1252</v>
      </c>
      <c r="N124" s="33" t="s">
        <v>1287</v>
      </c>
    </row>
    <row r="125" customFormat="false" ht="27.75" hidden="false" customHeight="true" outlineLevel="0" collapsed="false">
      <c r="A125" s="35" t="s">
        <v>1288</v>
      </c>
      <c r="B125" s="31" t="s">
        <v>762</v>
      </c>
      <c r="C125" s="31" t="s">
        <v>1289</v>
      </c>
      <c r="D125" s="31" t="s">
        <v>1290</v>
      </c>
      <c r="E125" s="31" t="s">
        <v>1291</v>
      </c>
      <c r="F125" s="11" t="s">
        <v>8</v>
      </c>
      <c r="G125" s="11" t="s">
        <v>252</v>
      </c>
      <c r="H125" s="11" t="s">
        <v>1292</v>
      </c>
      <c r="I125" s="11" t="s">
        <v>919</v>
      </c>
      <c r="J125" s="11" t="s">
        <v>98</v>
      </c>
      <c r="K125" s="11" t="s">
        <v>99</v>
      </c>
      <c r="L125" s="11" t="s">
        <v>113</v>
      </c>
      <c r="M125" s="31" t="s">
        <v>99</v>
      </c>
      <c r="N125" s="31" t="s">
        <v>1293</v>
      </c>
    </row>
    <row r="126" customFormat="false" ht="27.75" hidden="false" customHeight="true" outlineLevel="0" collapsed="false">
      <c r="A126" s="36" t="s">
        <v>1294</v>
      </c>
      <c r="B126" s="33" t="s">
        <v>762</v>
      </c>
      <c r="C126" s="33" t="s">
        <v>1289</v>
      </c>
      <c r="D126" s="33" t="s">
        <v>1295</v>
      </c>
      <c r="E126" s="33" t="s">
        <v>1296</v>
      </c>
      <c r="F126" s="9" t="s">
        <v>8</v>
      </c>
      <c r="G126" s="9" t="s">
        <v>252</v>
      </c>
      <c r="H126" s="9" t="s">
        <v>142</v>
      </c>
      <c r="I126" s="9" t="s">
        <v>105</v>
      </c>
      <c r="J126" s="9" t="s">
        <v>65</v>
      </c>
      <c r="K126" s="9" t="s">
        <v>39</v>
      </c>
      <c r="L126" s="9" t="s">
        <v>920</v>
      </c>
      <c r="M126" s="33" t="s">
        <v>99</v>
      </c>
      <c r="N126" s="33" t="s">
        <v>1297</v>
      </c>
    </row>
    <row r="127" customFormat="false" ht="27.75" hidden="false" customHeight="true" outlineLevel="0" collapsed="false">
      <c r="A127" s="35" t="s">
        <v>1298</v>
      </c>
      <c r="B127" s="31" t="s">
        <v>762</v>
      </c>
      <c r="C127" s="31" t="s">
        <v>1289</v>
      </c>
      <c r="D127" s="31" t="s">
        <v>1299</v>
      </c>
      <c r="E127" s="31" t="s">
        <v>1300</v>
      </c>
      <c r="F127" s="11" t="s">
        <v>8</v>
      </c>
      <c r="G127" s="11" t="s">
        <v>252</v>
      </c>
      <c r="H127" s="11" t="s">
        <v>151</v>
      </c>
      <c r="I127" s="11" t="s">
        <v>1301</v>
      </c>
      <c r="J127" s="11" t="s">
        <v>65</v>
      </c>
      <c r="K127" s="11" t="s">
        <v>39</v>
      </c>
      <c r="L127" s="11" t="s">
        <v>287</v>
      </c>
      <c r="M127" s="31" t="s">
        <v>99</v>
      </c>
      <c r="N127" s="31" t="s">
        <v>1302</v>
      </c>
    </row>
    <row r="128" customFormat="false" ht="21.75" hidden="false" customHeight="true" outlineLevel="0" collapsed="false">
      <c r="A128" s="34" t="s">
        <v>1303</v>
      </c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</row>
    <row r="129" customFormat="false" ht="18" hidden="false" customHeight="true" outlineLevel="0" collapsed="false">
      <c r="A129" s="29" t="s">
        <v>1304</v>
      </c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</row>
    <row r="130" customFormat="false" ht="27.75" hidden="false" customHeight="true" outlineLevel="0" collapsed="false">
      <c r="A130" s="36" t="s">
        <v>1305</v>
      </c>
      <c r="B130" s="33" t="s">
        <v>762</v>
      </c>
      <c r="C130" s="33" t="s">
        <v>1306</v>
      </c>
      <c r="D130" s="33" t="s">
        <v>1307</v>
      </c>
      <c r="E130" s="33" t="s">
        <v>1308</v>
      </c>
      <c r="F130" s="9" t="s">
        <v>6</v>
      </c>
      <c r="G130" s="9" t="s">
        <v>280</v>
      </c>
      <c r="H130" s="9" t="s">
        <v>118</v>
      </c>
      <c r="I130" s="9" t="s">
        <v>99</v>
      </c>
      <c r="J130" s="9" t="s">
        <v>65</v>
      </c>
      <c r="K130" s="9" t="s">
        <v>33</v>
      </c>
      <c r="L130" s="9" t="s">
        <v>66</v>
      </c>
      <c r="M130" s="33" t="s">
        <v>1309</v>
      </c>
      <c r="N130" s="33" t="s">
        <v>1310</v>
      </c>
    </row>
    <row r="131" customFormat="false" ht="27.75" hidden="false" customHeight="true" outlineLevel="0" collapsed="false">
      <c r="A131" s="35" t="s">
        <v>1311</v>
      </c>
      <c r="B131" s="31" t="s">
        <v>762</v>
      </c>
      <c r="C131" s="31" t="s">
        <v>1306</v>
      </c>
      <c r="D131" s="31" t="s">
        <v>1312</v>
      </c>
      <c r="E131" s="31" t="s">
        <v>1313</v>
      </c>
      <c r="F131" s="11" t="s">
        <v>6</v>
      </c>
      <c r="G131" s="11" t="s">
        <v>280</v>
      </c>
      <c r="H131" s="11" t="s">
        <v>118</v>
      </c>
      <c r="I131" s="11" t="s">
        <v>99</v>
      </c>
      <c r="J131" s="11" t="s">
        <v>65</v>
      </c>
      <c r="K131" s="11" t="s">
        <v>33</v>
      </c>
      <c r="L131" s="11" t="s">
        <v>66</v>
      </c>
      <c r="M131" s="31" t="s">
        <v>1314</v>
      </c>
      <c r="N131" s="31" t="s">
        <v>1315</v>
      </c>
    </row>
    <row r="132" customFormat="false" ht="27.75" hidden="false" customHeight="true" outlineLevel="0" collapsed="false">
      <c r="A132" s="36" t="s">
        <v>1316</v>
      </c>
      <c r="B132" s="33" t="s">
        <v>762</v>
      </c>
      <c r="C132" s="33" t="s">
        <v>1306</v>
      </c>
      <c r="D132" s="33" t="s">
        <v>1317</v>
      </c>
      <c r="E132" s="33" t="s">
        <v>1318</v>
      </c>
      <c r="F132" s="9" t="s">
        <v>6</v>
      </c>
      <c r="G132" s="9" t="s">
        <v>280</v>
      </c>
      <c r="H132" s="9" t="s">
        <v>118</v>
      </c>
      <c r="I132" s="9" t="s">
        <v>99</v>
      </c>
      <c r="J132" s="9" t="s">
        <v>65</v>
      </c>
      <c r="K132" s="9" t="s">
        <v>33</v>
      </c>
      <c r="L132" s="9" t="s">
        <v>66</v>
      </c>
      <c r="M132" s="33" t="s">
        <v>1319</v>
      </c>
      <c r="N132" s="33" t="s">
        <v>1320</v>
      </c>
    </row>
    <row r="133" customFormat="false" ht="27.75" hidden="false" customHeight="true" outlineLevel="0" collapsed="false">
      <c r="A133" s="35" t="s">
        <v>1321</v>
      </c>
      <c r="B133" s="31" t="s">
        <v>762</v>
      </c>
      <c r="C133" s="31" t="s">
        <v>1306</v>
      </c>
      <c r="D133" s="31" t="s">
        <v>1322</v>
      </c>
      <c r="E133" s="31" t="s">
        <v>1323</v>
      </c>
      <c r="F133" s="11" t="s">
        <v>6</v>
      </c>
      <c r="G133" s="11" t="s">
        <v>280</v>
      </c>
      <c r="H133" s="11" t="s">
        <v>118</v>
      </c>
      <c r="I133" s="11" t="s">
        <v>99</v>
      </c>
      <c r="J133" s="11" t="s">
        <v>65</v>
      </c>
      <c r="K133" s="11" t="s">
        <v>35</v>
      </c>
      <c r="L133" s="11" t="s">
        <v>66</v>
      </c>
      <c r="M133" s="31" t="s">
        <v>1324</v>
      </c>
      <c r="N133" s="31" t="s">
        <v>1325</v>
      </c>
    </row>
    <row r="134" customFormat="false" ht="27.75" hidden="false" customHeight="true" outlineLevel="0" collapsed="false">
      <c r="A134" s="36" t="s">
        <v>1326</v>
      </c>
      <c r="B134" s="33" t="s">
        <v>762</v>
      </c>
      <c r="C134" s="33" t="s">
        <v>1306</v>
      </c>
      <c r="D134" s="33" t="s">
        <v>1327</v>
      </c>
      <c r="E134" s="33" t="s">
        <v>1328</v>
      </c>
      <c r="F134" s="9" t="s">
        <v>6</v>
      </c>
      <c r="G134" s="9" t="s">
        <v>280</v>
      </c>
      <c r="H134" s="9" t="s">
        <v>118</v>
      </c>
      <c r="I134" s="9" t="s">
        <v>99</v>
      </c>
      <c r="J134" s="9" t="s">
        <v>65</v>
      </c>
      <c r="K134" s="9" t="s">
        <v>33</v>
      </c>
      <c r="L134" s="9" t="s">
        <v>66</v>
      </c>
      <c r="M134" s="33" t="s">
        <v>1329</v>
      </c>
      <c r="N134" s="33" t="s">
        <v>1330</v>
      </c>
    </row>
    <row r="135" customFormat="false" ht="27.75" hidden="false" customHeight="true" outlineLevel="0" collapsed="false">
      <c r="A135" s="35" t="s">
        <v>1331</v>
      </c>
      <c r="B135" s="31" t="s">
        <v>762</v>
      </c>
      <c r="C135" s="31" t="s">
        <v>1306</v>
      </c>
      <c r="D135" s="31" t="s">
        <v>1332</v>
      </c>
      <c r="E135" s="31" t="s">
        <v>1333</v>
      </c>
      <c r="F135" s="11" t="s">
        <v>4</v>
      </c>
      <c r="G135" s="11" t="s">
        <v>223</v>
      </c>
      <c r="H135" s="11" t="s">
        <v>142</v>
      </c>
      <c r="I135" s="11" t="s">
        <v>105</v>
      </c>
      <c r="J135" s="11" t="s">
        <v>65</v>
      </c>
      <c r="K135" s="11" t="s">
        <v>35</v>
      </c>
      <c r="L135" s="11" t="s">
        <v>106</v>
      </c>
      <c r="M135" s="31" t="s">
        <v>1334</v>
      </c>
      <c r="N135" s="31" t="s">
        <v>1335</v>
      </c>
    </row>
    <row r="136" customFormat="false" ht="18" hidden="false" customHeight="true" outlineLevel="0" collapsed="false">
      <c r="A136" s="29" t="s">
        <v>1336</v>
      </c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</row>
    <row r="137" customFormat="false" ht="27.75" hidden="false" customHeight="true" outlineLevel="0" collapsed="false">
      <c r="A137" s="35" t="s">
        <v>1337</v>
      </c>
      <c r="B137" s="31" t="s">
        <v>762</v>
      </c>
      <c r="C137" s="31" t="s">
        <v>1306</v>
      </c>
      <c r="D137" s="31" t="s">
        <v>1338</v>
      </c>
      <c r="E137" s="31" t="s">
        <v>1339</v>
      </c>
      <c r="F137" s="11" t="s">
        <v>6</v>
      </c>
      <c r="G137" s="11" t="s">
        <v>280</v>
      </c>
      <c r="H137" s="11" t="s">
        <v>118</v>
      </c>
      <c r="I137" s="11" t="s">
        <v>99</v>
      </c>
      <c r="J137" s="11" t="s">
        <v>65</v>
      </c>
      <c r="K137" s="11" t="s">
        <v>33</v>
      </c>
      <c r="L137" s="11" t="s">
        <v>66</v>
      </c>
      <c r="M137" s="31" t="s">
        <v>1340</v>
      </c>
      <c r="N137" s="31" t="s">
        <v>1341</v>
      </c>
    </row>
    <row r="138" customFormat="false" ht="27.75" hidden="false" customHeight="true" outlineLevel="0" collapsed="false">
      <c r="A138" s="36" t="s">
        <v>1342</v>
      </c>
      <c r="B138" s="33" t="s">
        <v>762</v>
      </c>
      <c r="C138" s="33" t="s">
        <v>1306</v>
      </c>
      <c r="D138" s="33" t="s">
        <v>1343</v>
      </c>
      <c r="E138" s="33" t="s">
        <v>1344</v>
      </c>
      <c r="F138" s="9" t="s">
        <v>6</v>
      </c>
      <c r="G138" s="9" t="s">
        <v>280</v>
      </c>
      <c r="H138" s="9" t="s">
        <v>118</v>
      </c>
      <c r="I138" s="9" t="s">
        <v>99</v>
      </c>
      <c r="J138" s="9" t="s">
        <v>65</v>
      </c>
      <c r="K138" s="9" t="s">
        <v>33</v>
      </c>
      <c r="L138" s="9" t="s">
        <v>66</v>
      </c>
      <c r="M138" s="33" t="s">
        <v>1345</v>
      </c>
      <c r="N138" s="33" t="s">
        <v>1346</v>
      </c>
    </row>
    <row r="139" customFormat="false" ht="27.75" hidden="false" customHeight="true" outlineLevel="0" collapsed="false">
      <c r="A139" s="35" t="s">
        <v>1347</v>
      </c>
      <c r="B139" s="31" t="s">
        <v>762</v>
      </c>
      <c r="C139" s="31" t="s">
        <v>1306</v>
      </c>
      <c r="D139" s="31" t="s">
        <v>1348</v>
      </c>
      <c r="E139" s="31" t="s">
        <v>1349</v>
      </c>
      <c r="F139" s="11" t="s">
        <v>6</v>
      </c>
      <c r="G139" s="11" t="s">
        <v>1249</v>
      </c>
      <c r="H139" s="11" t="s">
        <v>118</v>
      </c>
      <c r="I139" s="11" t="s">
        <v>99</v>
      </c>
      <c r="J139" s="11" t="s">
        <v>65</v>
      </c>
      <c r="K139" s="11" t="s">
        <v>33</v>
      </c>
      <c r="L139" s="11" t="s">
        <v>66</v>
      </c>
      <c r="M139" s="31" t="s">
        <v>1252</v>
      </c>
      <c r="N139" s="31" t="s">
        <v>1350</v>
      </c>
    </row>
    <row r="140" customFormat="false" ht="18" hidden="false" customHeight="true" outlineLevel="0" collapsed="false">
      <c r="A140" s="29" t="s">
        <v>1351</v>
      </c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</row>
    <row r="141" customFormat="false" ht="27.75" hidden="false" customHeight="true" outlineLevel="0" collapsed="false">
      <c r="A141" s="35" t="s">
        <v>1352</v>
      </c>
      <c r="B141" s="31" t="s">
        <v>762</v>
      </c>
      <c r="C141" s="31" t="s">
        <v>1306</v>
      </c>
      <c r="D141" s="31" t="s">
        <v>1353</v>
      </c>
      <c r="E141" s="31" t="s">
        <v>1354</v>
      </c>
      <c r="F141" s="11" t="s">
        <v>6</v>
      </c>
      <c r="G141" s="11" t="s">
        <v>280</v>
      </c>
      <c r="H141" s="11" t="s">
        <v>118</v>
      </c>
      <c r="I141" s="11" t="s">
        <v>99</v>
      </c>
      <c r="J141" s="11" t="s">
        <v>65</v>
      </c>
      <c r="K141" s="11" t="s">
        <v>35</v>
      </c>
      <c r="L141" s="11" t="s">
        <v>66</v>
      </c>
      <c r="M141" s="31" t="s">
        <v>1355</v>
      </c>
      <c r="N141" s="31" t="s">
        <v>1356</v>
      </c>
    </row>
    <row r="142" customFormat="false" ht="27.75" hidden="false" customHeight="true" outlineLevel="0" collapsed="false">
      <c r="A142" s="36" t="s">
        <v>1357</v>
      </c>
      <c r="B142" s="33" t="s">
        <v>762</v>
      </c>
      <c r="C142" s="33" t="s">
        <v>1306</v>
      </c>
      <c r="D142" s="33" t="s">
        <v>1358</v>
      </c>
      <c r="E142" s="33" t="s">
        <v>1359</v>
      </c>
      <c r="F142" s="9" t="s">
        <v>6</v>
      </c>
      <c r="G142" s="9" t="s">
        <v>280</v>
      </c>
      <c r="H142" s="9" t="s">
        <v>118</v>
      </c>
      <c r="I142" s="9" t="s">
        <v>99</v>
      </c>
      <c r="J142" s="9" t="s">
        <v>98</v>
      </c>
      <c r="K142" s="9" t="s">
        <v>99</v>
      </c>
      <c r="L142" s="9" t="s">
        <v>187</v>
      </c>
      <c r="M142" s="33" t="s">
        <v>545</v>
      </c>
      <c r="N142" s="33" t="s">
        <v>1360</v>
      </c>
    </row>
    <row r="143" customFormat="false" ht="27.75" hidden="false" customHeight="true" outlineLevel="0" collapsed="false">
      <c r="A143" s="35" t="s">
        <v>1361</v>
      </c>
      <c r="B143" s="31" t="s">
        <v>762</v>
      </c>
      <c r="C143" s="31" t="s">
        <v>1306</v>
      </c>
      <c r="D143" s="31" t="s">
        <v>1362</v>
      </c>
      <c r="E143" s="31" t="s">
        <v>1363</v>
      </c>
      <c r="F143" s="11" t="s">
        <v>6</v>
      </c>
      <c r="G143" s="11" t="s">
        <v>1364</v>
      </c>
      <c r="H143" s="11" t="s">
        <v>118</v>
      </c>
      <c r="I143" s="11" t="s">
        <v>99</v>
      </c>
      <c r="J143" s="11" t="s">
        <v>65</v>
      </c>
      <c r="K143" s="11" t="s">
        <v>39</v>
      </c>
      <c r="L143" s="11" t="s">
        <v>1365</v>
      </c>
      <c r="M143" s="31" t="s">
        <v>1366</v>
      </c>
      <c r="N143" s="31" t="s">
        <v>1367</v>
      </c>
    </row>
    <row r="144" customFormat="false" ht="18" hidden="false" customHeight="true" outlineLevel="0" collapsed="false">
      <c r="A144" s="29" t="s">
        <v>1368</v>
      </c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</row>
    <row r="145" customFormat="false" ht="27.75" hidden="false" customHeight="true" outlineLevel="0" collapsed="false">
      <c r="A145" s="35" t="s">
        <v>1369</v>
      </c>
      <c r="B145" s="31" t="s">
        <v>762</v>
      </c>
      <c r="C145" s="31" t="s">
        <v>1306</v>
      </c>
      <c r="D145" s="31" t="s">
        <v>1370</v>
      </c>
      <c r="E145" s="31" t="s">
        <v>1371</v>
      </c>
      <c r="F145" s="11" t="s">
        <v>4</v>
      </c>
      <c r="G145" s="11" t="s">
        <v>223</v>
      </c>
      <c r="H145" s="11" t="s">
        <v>1372</v>
      </c>
      <c r="I145" s="11" t="s">
        <v>166</v>
      </c>
      <c r="J145" s="11" t="s">
        <v>65</v>
      </c>
      <c r="K145" s="11" t="s">
        <v>35</v>
      </c>
      <c r="L145" s="11" t="s">
        <v>113</v>
      </c>
      <c r="M145" s="31" t="s">
        <v>1373</v>
      </c>
      <c r="N145" s="31" t="s">
        <v>1374</v>
      </c>
    </row>
    <row r="146" customFormat="false" ht="27.75" hidden="false" customHeight="true" outlineLevel="0" collapsed="false">
      <c r="A146" s="36" t="s">
        <v>1375</v>
      </c>
      <c r="B146" s="33" t="s">
        <v>762</v>
      </c>
      <c r="C146" s="33" t="s">
        <v>1306</v>
      </c>
      <c r="D146" s="33" t="s">
        <v>1376</v>
      </c>
      <c r="E146" s="33" t="s">
        <v>1377</v>
      </c>
      <c r="F146" s="9" t="s">
        <v>4</v>
      </c>
      <c r="G146" s="9" t="s">
        <v>223</v>
      </c>
      <c r="H146" s="9" t="s">
        <v>1372</v>
      </c>
      <c r="I146" s="9" t="s">
        <v>166</v>
      </c>
      <c r="J146" s="9" t="s">
        <v>65</v>
      </c>
      <c r="K146" s="9" t="s">
        <v>35</v>
      </c>
      <c r="L146" s="9" t="s">
        <v>113</v>
      </c>
      <c r="M146" s="33" t="s">
        <v>1378</v>
      </c>
      <c r="N146" s="33" t="s">
        <v>1379</v>
      </c>
    </row>
    <row r="147" customFormat="false" ht="27.75" hidden="false" customHeight="true" outlineLevel="0" collapsed="false">
      <c r="A147" s="35" t="s">
        <v>1380</v>
      </c>
      <c r="B147" s="31" t="s">
        <v>762</v>
      </c>
      <c r="C147" s="31" t="s">
        <v>1306</v>
      </c>
      <c r="D147" s="31" t="s">
        <v>1381</v>
      </c>
      <c r="E147" s="31" t="s">
        <v>1382</v>
      </c>
      <c r="F147" s="11" t="s">
        <v>6</v>
      </c>
      <c r="G147" s="11" t="s">
        <v>280</v>
      </c>
      <c r="H147" s="11" t="s">
        <v>229</v>
      </c>
      <c r="I147" s="11" t="s">
        <v>99</v>
      </c>
      <c r="J147" s="11" t="s">
        <v>65</v>
      </c>
      <c r="K147" s="11" t="s">
        <v>35</v>
      </c>
      <c r="L147" s="11" t="s">
        <v>113</v>
      </c>
      <c r="M147" s="31" t="s">
        <v>1383</v>
      </c>
      <c r="N147" s="31" t="s">
        <v>1384</v>
      </c>
    </row>
    <row r="148" customFormat="false" ht="27.75" hidden="false" customHeight="true" outlineLevel="0" collapsed="false">
      <c r="A148" s="36" t="s">
        <v>1385</v>
      </c>
      <c r="B148" s="33" t="s">
        <v>762</v>
      </c>
      <c r="C148" s="33" t="s">
        <v>1306</v>
      </c>
      <c r="D148" s="33" t="s">
        <v>1386</v>
      </c>
      <c r="E148" s="33" t="s">
        <v>1387</v>
      </c>
      <c r="F148" s="9" t="s">
        <v>7</v>
      </c>
      <c r="G148" s="9" t="s">
        <v>280</v>
      </c>
      <c r="H148" s="9" t="s">
        <v>118</v>
      </c>
      <c r="I148" s="9" t="s">
        <v>99</v>
      </c>
      <c r="J148" s="9" t="s">
        <v>98</v>
      </c>
      <c r="K148" s="9" t="s">
        <v>99</v>
      </c>
      <c r="L148" s="9" t="s">
        <v>287</v>
      </c>
      <c r="M148" s="33" t="s">
        <v>1383</v>
      </c>
      <c r="N148" s="33" t="s">
        <v>1388</v>
      </c>
    </row>
    <row r="149" customFormat="false" ht="27.75" hidden="false" customHeight="true" outlineLevel="0" collapsed="false">
      <c r="A149" s="35" t="s">
        <v>1389</v>
      </c>
      <c r="B149" s="31" t="s">
        <v>762</v>
      </c>
      <c r="C149" s="31" t="s">
        <v>1390</v>
      </c>
      <c r="D149" s="31" t="s">
        <v>1391</v>
      </c>
      <c r="E149" s="31" t="s">
        <v>1392</v>
      </c>
      <c r="F149" s="11" t="s">
        <v>8</v>
      </c>
      <c r="G149" s="11" t="s">
        <v>252</v>
      </c>
      <c r="H149" s="11" t="s">
        <v>142</v>
      </c>
      <c r="I149" s="11" t="s">
        <v>558</v>
      </c>
      <c r="J149" s="11" t="s">
        <v>65</v>
      </c>
      <c r="K149" s="11" t="s">
        <v>35</v>
      </c>
      <c r="L149" s="11" t="s">
        <v>352</v>
      </c>
      <c r="M149" s="31" t="s">
        <v>99</v>
      </c>
      <c r="N149" s="31" t="s">
        <v>1393</v>
      </c>
    </row>
    <row r="150" customFormat="false" ht="27.75" hidden="false" customHeight="true" outlineLevel="0" collapsed="false">
      <c r="A150" s="36" t="s">
        <v>1394</v>
      </c>
      <c r="B150" s="33" t="s">
        <v>762</v>
      </c>
      <c r="C150" s="33" t="s">
        <v>1390</v>
      </c>
      <c r="D150" s="33" t="s">
        <v>1395</v>
      </c>
      <c r="E150" s="33" t="s">
        <v>1396</v>
      </c>
      <c r="F150" s="9" t="s">
        <v>8</v>
      </c>
      <c r="G150" s="9" t="s">
        <v>252</v>
      </c>
      <c r="H150" s="9" t="s">
        <v>1397</v>
      </c>
      <c r="I150" s="9" t="s">
        <v>1398</v>
      </c>
      <c r="J150" s="9" t="s">
        <v>65</v>
      </c>
      <c r="K150" s="9" t="s">
        <v>33</v>
      </c>
      <c r="L150" s="9" t="s">
        <v>86</v>
      </c>
      <c r="M150" s="33" t="s">
        <v>99</v>
      </c>
      <c r="N150" s="33" t="s">
        <v>1399</v>
      </c>
    </row>
  </sheetData>
  <mergeCells count="25">
    <mergeCell ref="A1:N1"/>
    <mergeCell ref="A3:N3"/>
    <mergeCell ref="A4:N4"/>
    <mergeCell ref="A13:N13"/>
    <mergeCell ref="A24:N24"/>
    <mergeCell ref="A25:N25"/>
    <mergeCell ref="A32:N32"/>
    <mergeCell ref="A41:N41"/>
    <mergeCell ref="A49:N49"/>
    <mergeCell ref="A56:N56"/>
    <mergeCell ref="A57:N57"/>
    <mergeCell ref="A66:N66"/>
    <mergeCell ref="A74:N74"/>
    <mergeCell ref="A81:N81"/>
    <mergeCell ref="A94:N94"/>
    <mergeCell ref="A95:N95"/>
    <mergeCell ref="A103:N103"/>
    <mergeCell ref="A108:N108"/>
    <mergeCell ref="A111:N111"/>
    <mergeCell ref="A115:N115"/>
    <mergeCell ref="A128:N128"/>
    <mergeCell ref="A129:N129"/>
    <mergeCell ref="A136:N136"/>
    <mergeCell ref="A140:N140"/>
    <mergeCell ref="A144:N1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8"/>
    <col collapsed="false" customWidth="true" hidden="false" outlineLevel="0" max="4" min="3" style="1" width="14"/>
    <col collapsed="false" customWidth="true" hidden="false" outlineLevel="0" max="5" min="5" style="1" width="45"/>
  </cols>
  <sheetData>
    <row r="1" customFormat="false" ht="27.75" hidden="false" customHeight="true" outlineLevel="0" collapsed="false">
      <c r="A1" s="37" t="s">
        <v>1400</v>
      </c>
      <c r="B1" s="37"/>
      <c r="C1" s="37"/>
      <c r="D1" s="37"/>
      <c r="E1" s="37"/>
    </row>
    <row r="2" customFormat="false" ht="15" hidden="false" customHeight="true" outlineLevel="0" collapsed="false">
      <c r="A2" s="38" t="s">
        <v>1401</v>
      </c>
      <c r="B2" s="38" t="s">
        <v>1402</v>
      </c>
      <c r="C2" s="38" t="s">
        <v>1403</v>
      </c>
      <c r="D2" s="38" t="s">
        <v>1404</v>
      </c>
      <c r="E2" s="38" t="s">
        <v>54</v>
      </c>
    </row>
    <row r="3" customFormat="false" ht="36.75" hidden="false" customHeight="true" outlineLevel="0" collapsed="false">
      <c r="A3" s="11" t="s">
        <v>62</v>
      </c>
      <c r="B3" s="11" t="s">
        <v>1405</v>
      </c>
      <c r="C3" s="31" t="s">
        <v>1406</v>
      </c>
      <c r="D3" s="31" t="s">
        <v>1407</v>
      </c>
      <c r="E3" s="31" t="s">
        <v>1408</v>
      </c>
    </row>
    <row r="4" customFormat="false" ht="27.75" hidden="false" customHeight="true" outlineLevel="0" collapsed="false">
      <c r="A4" s="9" t="s">
        <v>1409</v>
      </c>
      <c r="B4" s="9" t="s">
        <v>1405</v>
      </c>
      <c r="C4" s="33" t="s">
        <v>1410</v>
      </c>
      <c r="D4" s="33" t="s">
        <v>1411</v>
      </c>
      <c r="E4" s="33" t="s">
        <v>1412</v>
      </c>
    </row>
    <row r="5" customFormat="false" ht="27.75" hidden="false" customHeight="true" outlineLevel="0" collapsed="false">
      <c r="A5" s="11" t="s">
        <v>418</v>
      </c>
      <c r="B5" s="11" t="s">
        <v>1405</v>
      </c>
      <c r="C5" s="31" t="s">
        <v>1413</v>
      </c>
      <c r="D5" s="31" t="s">
        <v>1414</v>
      </c>
      <c r="E5" s="31" t="s">
        <v>1415</v>
      </c>
    </row>
    <row r="6" customFormat="false" ht="36.75" hidden="false" customHeight="true" outlineLevel="0" collapsed="false">
      <c r="A6" s="9" t="s">
        <v>1416</v>
      </c>
      <c r="B6" s="9" t="s">
        <v>1405</v>
      </c>
      <c r="C6" s="33" t="s">
        <v>1417</v>
      </c>
      <c r="D6" s="33" t="s">
        <v>1418</v>
      </c>
      <c r="E6" s="33" t="s">
        <v>1419</v>
      </c>
    </row>
    <row r="7" customFormat="false" ht="27.75" hidden="false" customHeight="true" outlineLevel="0" collapsed="false">
      <c r="A7" s="11" t="s">
        <v>629</v>
      </c>
      <c r="B7" s="11" t="s">
        <v>1420</v>
      </c>
      <c r="C7" s="31" t="s">
        <v>1421</v>
      </c>
      <c r="D7" s="31" t="s">
        <v>1422</v>
      </c>
      <c r="E7" s="31" t="s">
        <v>1423</v>
      </c>
    </row>
    <row r="8" customFormat="false" ht="27.75" hidden="false" customHeight="true" outlineLevel="0" collapsed="false">
      <c r="A8" s="9" t="s">
        <v>1424</v>
      </c>
      <c r="B8" s="9" t="s">
        <v>1405</v>
      </c>
      <c r="C8" s="33" t="s">
        <v>1425</v>
      </c>
      <c r="D8" s="33" t="s">
        <v>1426</v>
      </c>
      <c r="E8" s="33" t="s">
        <v>1427</v>
      </c>
    </row>
    <row r="9" customFormat="false" ht="36.75" hidden="false" customHeight="true" outlineLevel="0" collapsed="false">
      <c r="A9" s="11" t="s">
        <v>223</v>
      </c>
      <c r="B9" s="11" t="s">
        <v>1428</v>
      </c>
      <c r="C9" s="31" t="s">
        <v>1429</v>
      </c>
      <c r="D9" s="31" t="s">
        <v>1430</v>
      </c>
      <c r="E9" s="31" t="s">
        <v>1431</v>
      </c>
    </row>
    <row r="10" customFormat="false" ht="27.75" hidden="false" customHeight="true" outlineLevel="0" collapsed="false">
      <c r="A10" s="9" t="s">
        <v>280</v>
      </c>
      <c r="B10" s="9" t="s">
        <v>1428</v>
      </c>
      <c r="C10" s="33" t="s">
        <v>1432</v>
      </c>
      <c r="D10" s="33" t="s">
        <v>1433</v>
      </c>
      <c r="E10" s="33" t="s">
        <v>1434</v>
      </c>
    </row>
    <row r="11" customFormat="false" ht="27.75" hidden="false" customHeight="true" outlineLevel="0" collapsed="false">
      <c r="A11" s="11" t="s">
        <v>330</v>
      </c>
      <c r="B11" s="11" t="s">
        <v>1435</v>
      </c>
      <c r="C11" s="31" t="s">
        <v>1436</v>
      </c>
      <c r="D11" s="31" t="s">
        <v>1437</v>
      </c>
      <c r="E11" s="31" t="s">
        <v>1438</v>
      </c>
    </row>
    <row r="12" customFormat="false" ht="18.75" hidden="false" customHeight="true" outlineLevel="0" collapsed="false">
      <c r="A12" s="9" t="s">
        <v>286</v>
      </c>
      <c r="B12" s="9" t="s">
        <v>1439</v>
      </c>
      <c r="C12" s="33" t="s">
        <v>1440</v>
      </c>
      <c r="D12" s="33" t="s">
        <v>1411</v>
      </c>
      <c r="E12" s="33" t="s">
        <v>1441</v>
      </c>
    </row>
    <row r="13" customFormat="false" ht="36.75" hidden="false" customHeight="true" outlineLevel="0" collapsed="false">
      <c r="A13" s="11" t="s">
        <v>385</v>
      </c>
      <c r="B13" s="11" t="s">
        <v>1442</v>
      </c>
      <c r="C13" s="31" t="s">
        <v>1443</v>
      </c>
      <c r="D13" s="31" t="s">
        <v>1444</v>
      </c>
      <c r="E13" s="31" t="s">
        <v>1445</v>
      </c>
    </row>
    <row r="14" customFormat="false" ht="27.75" hidden="false" customHeight="true" outlineLevel="0" collapsed="false">
      <c r="A14" s="9" t="s">
        <v>1446</v>
      </c>
      <c r="B14" s="9" t="s">
        <v>1447</v>
      </c>
      <c r="C14" s="33" t="s">
        <v>1448</v>
      </c>
      <c r="D14" s="33" t="s">
        <v>1449</v>
      </c>
      <c r="E14" s="33" t="s">
        <v>1450</v>
      </c>
    </row>
    <row r="15" customFormat="false" ht="27.75" hidden="false" customHeight="true" outlineLevel="0" collapsed="false">
      <c r="A15" s="11" t="s">
        <v>1249</v>
      </c>
      <c r="B15" s="11" t="s">
        <v>1451</v>
      </c>
      <c r="C15" s="31" t="s">
        <v>1452</v>
      </c>
      <c r="D15" s="31" t="s">
        <v>1453</v>
      </c>
      <c r="E15" s="31" t="s">
        <v>1454</v>
      </c>
    </row>
    <row r="16" customFormat="false" ht="27.75" hidden="false" customHeight="true" outlineLevel="0" collapsed="false">
      <c r="A16" s="9" t="s">
        <v>1455</v>
      </c>
      <c r="B16" s="9" t="s">
        <v>1456</v>
      </c>
      <c r="C16" s="33" t="s">
        <v>1457</v>
      </c>
      <c r="D16" s="33" t="s">
        <v>1458</v>
      </c>
      <c r="E16" s="33" t="s">
        <v>1459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2026-02-21T10:06:16Z</dcterms:created>
  <dc:creator>openpyxl</dc:creator>
  <dc:description/>
  <dc:language>en-US</dc:language>
  <cp:lastModifiedBy/>
  <dcterms:modified xsi:type="dcterms:W3CDTF">2026-02-21T10:06:37Z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